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600" windowHeight="19520" tabRatio="600" firstSheet="0" activeTab="1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y Analyzer" sheetId="2" state="visible" r:id="rId2"/>
    <sheet xmlns:r="http://schemas.openxmlformats.org/officeDocument/2006/relationships" name="Classification" sheetId="3" state="visible" r:id="rId3"/>
    <sheet xmlns:r="http://schemas.openxmlformats.org/officeDocument/2006/relationships" name="Criteria Reference" sheetId="4" state="visible" r:id="rId4"/>
    <sheet xmlns:r="http://schemas.openxmlformats.org/officeDocument/2006/relationships" name="FI Dashboard" sheetId="5" state="visible" r:id="rId5"/>
    <sheet xmlns:r="http://schemas.openxmlformats.org/officeDocument/2006/relationships" name="CBNRates" sheetId="6" state="visible" r:id="rId6"/>
    <sheet xmlns:r="http://schemas.openxmlformats.org/officeDocument/2006/relationships" name="Yield Curve" sheetId="7" state="visible" r:id="rId7"/>
    <sheet xmlns:r="http://schemas.openxmlformats.org/officeDocument/2006/relationships" name="FGN Bonds" sheetId="8" state="visible" r:id="rId8"/>
    <sheet xmlns:r="http://schemas.openxmlformats.org/officeDocument/2006/relationships" name="Corporate Bonds" sheetId="9" state="visible" r:id="rId9"/>
    <sheet xmlns:r="http://schemas.openxmlformats.org/officeDocument/2006/relationships" name="Commercial Papers" sheetId="10" state="visible" r:id="rId10"/>
    <sheet xmlns:r="http://schemas.openxmlformats.org/officeDocument/2006/relationships" name="Bond Analytics" sheetId="11" state="visible" r:id="rId11"/>
    <sheet xmlns:r="http://schemas.openxmlformats.org/officeDocument/2006/relationships" name="Eurobonds" sheetId="12" state="visible" r:id="rId12"/>
    <sheet xmlns:r="http://schemas.openxmlformats.org/officeDocument/2006/relationships" name="Data Guide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1">
    <numFmt numFmtId="164" formatCode="0.0%"/>
    <numFmt numFmtId="165" formatCode="0.00\x"/>
    <numFmt numFmtId="166" formatCode="0.0\x"/>
    <numFmt numFmtId="167" formatCode="0.0"/>
    <numFmt numFmtId="168" formatCode="0.000%"/>
    <numFmt numFmtId="169" formatCode="yyyy\-mm\-dd"/>
    <numFmt numFmtId="170" formatCode="#,##0.0"/>
    <numFmt numFmtId="171" formatCode="0.0000"/>
    <numFmt numFmtId="172" formatCode="0.000"/>
    <numFmt numFmtId="173" formatCode="yyyy-mm-dd"/>
    <numFmt numFmtId="174" formatCode="YYYY-MM-DD"/>
  </numFmts>
  <fonts count="24">
    <font>
      <name val="Calibri"/>
      <family val="2"/>
      <color theme="1"/>
      <sz val="11"/>
      <scheme val="minor"/>
    </font>
    <font>
      <name val="Century Gothic"/>
      <family val="1"/>
      <color rgb="FF000000"/>
      <sz val="11"/>
    </font>
    <font>
      <name val="Century Gothic"/>
      <family val="1"/>
      <b val="1"/>
      <color rgb="FF000000"/>
      <sz val="12"/>
    </font>
    <font>
      <name val="Century Gothic"/>
      <family val="1"/>
      <b val="1"/>
      <i val="1"/>
      <color rgb="FF000000"/>
      <sz val="10"/>
    </font>
    <font>
      <name val="Century Gothic"/>
      <family val="1"/>
      <b val="1"/>
      <color rgb="FF000000"/>
      <sz val="10"/>
    </font>
    <font>
      <name val="Century Gothic"/>
      <family val="1"/>
      <color rgb="FF000000"/>
      <sz val="10"/>
    </font>
    <font>
      <name val="Century Gothic"/>
      <family val="1"/>
      <color rgb="FFA0740A"/>
      <sz val="11"/>
    </font>
    <font>
      <name val="Century Gothic"/>
      <family val="1"/>
      <color rgb="FFA0740A"/>
      <sz val="12"/>
    </font>
    <font>
      <name val="Century Gothic"/>
      <family val="1"/>
      <b val="1"/>
      <color rgb="FF000000"/>
      <sz val="11"/>
    </font>
    <font>
      <name val="Century Gothic"/>
      <family val="1"/>
      <color rgb="FFA0740A"/>
      <sz val="10"/>
    </font>
    <font>
      <name val="Century Gothic"/>
      <family val="1"/>
      <b val="1"/>
      <color rgb="FF000000"/>
      <sz val="8"/>
    </font>
    <font>
      <name val="Century Gothic"/>
      <family val="1"/>
      <color rgb="FFA0740A"/>
      <sz val="9"/>
    </font>
    <font>
      <name val="Century Gothic"/>
      <family val="1"/>
      <color rgb="FFFFFFFF"/>
      <sz val="6"/>
    </font>
    <font>
      <name val="Century Gothic"/>
      <family val="1"/>
      <b val="1"/>
      <color rgb="FF2B6AA0"/>
      <sz val="8"/>
    </font>
    <font>
      <name val="Century Gothic"/>
      <family val="1"/>
      <color rgb="FF6B7280"/>
      <sz val="8"/>
    </font>
    <font>
      <name val="Century Gothic"/>
      <family val="1"/>
      <b val="1"/>
      <color rgb="FF000000"/>
      <sz val="7"/>
    </font>
    <font>
      <name val="Century Gothic"/>
      <family val="1"/>
      <color rgb="FFA0740A"/>
      <sz val="8"/>
    </font>
    <font>
      <name val="Century Gothic"/>
      <family val="1"/>
      <color rgb="FF6B7280"/>
      <sz val="7"/>
    </font>
    <font>
      <name val="Century Gothic"/>
      <family val="1"/>
      <i val="1"/>
      <color rgb="FF9CA3AF"/>
      <sz val="7"/>
    </font>
    <font>
      <name val="Century Gothic"/>
      <family val="1"/>
      <i val="1"/>
      <color rgb="FF6B7280"/>
      <sz val="8"/>
    </font>
    <font>
      <name val="Century Gothic"/>
      <family val="1"/>
      <b val="1"/>
      <color rgb="FF000000"/>
      <sz val="10"/>
    </font>
    <font>
      <name val="Century Gothic"/>
      <family val="1"/>
      <i val="1"/>
      <color rgb="FF6B7280"/>
      <sz val="8"/>
    </font>
    <font>
      <name val="Century Gothic"/>
      <b val="1"/>
      <color rgb="00000000"/>
      <sz val="10"/>
    </font>
    <font>
      <name val="Century Gothic"/>
      <i val="1"/>
      <color rgb="006B7280"/>
      <sz val="8"/>
    </font>
  </fonts>
  <fills count="13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8F8F8"/>
      </patternFill>
    </fill>
    <fill>
      <patternFill patternType="solid">
        <fgColor rgb="FFE8EEF4"/>
      </patternFill>
    </fill>
    <fill>
      <patternFill patternType="solid">
        <fgColor rgb="FFF0F0F0"/>
      </patternFill>
    </fill>
    <fill>
      <patternFill patternType="solid">
        <fgColor rgb="FFF0F6FF"/>
      </patternFill>
    </fill>
    <fill>
      <patternFill patternType="solid">
        <fgColor rgb="FFF8F8F8"/>
      </patternFill>
    </fill>
    <fill>
      <patternFill patternType="solid">
        <fgColor rgb="FFF0F6FF"/>
      </patternFill>
    </fill>
    <fill>
      <patternFill patternType="solid">
        <fgColor rgb="FFFFFFFF"/>
      </patternFill>
    </fill>
    <fill>
      <patternFill patternType="solid">
        <fgColor rgb="00F8F8F8"/>
      </patternFill>
    </fill>
    <fill>
      <patternFill patternType="solid">
        <fgColor rgb="00F0F6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64" fontId="9" fillId="2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65" fontId="9" fillId="2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166" fontId="9" fillId="2" borderId="0" applyAlignment="1" pivotButton="0" quotePrefix="0" xfId="0">
      <alignment horizontal="center" vertical="center"/>
    </xf>
    <xf numFmtId="1" fontId="9" fillId="2" borderId="0" applyAlignment="1" pivotButton="0" quotePrefix="0" xfId="0">
      <alignment horizontal="center" vertical="center"/>
    </xf>
    <xf numFmtId="3" fontId="9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7" fontId="6" fillId="3" borderId="0" applyAlignment="1" pivotButton="0" quotePrefix="0" xfId="0">
      <alignment horizontal="center" vertical="center"/>
    </xf>
    <xf numFmtId="9" fontId="6" fillId="3" borderId="0" applyAlignment="1" pivotButton="0" quotePrefix="0" xfId="0">
      <alignment horizontal="center" vertical="center"/>
    </xf>
    <xf numFmtId="49" fontId="9" fillId="2" borderId="0" applyAlignment="1" pivotButton="0" quotePrefix="0" xfId="0">
      <alignment horizontal="center" vertical="center"/>
    </xf>
    <xf numFmtId="10" fontId="9" fillId="3" borderId="0" applyAlignment="1" pivotButton="0" quotePrefix="0" xfId="0">
      <alignment horizontal="center" vertical="center"/>
    </xf>
    <xf numFmtId="1" fontId="9" fillId="3" borderId="0" applyAlignment="1" pivotButton="0" quotePrefix="0" xfId="0">
      <alignment horizontal="center" vertical="center"/>
    </xf>
    <xf numFmtId="10" fontId="9" fillId="2" borderId="0" applyAlignment="1" pivotButton="0" quotePrefix="0" xfId="0">
      <alignment horizontal="center" vertical="center"/>
    </xf>
    <xf numFmtId="10" fontId="4" fillId="6" borderId="2" applyAlignment="1" pivotButton="0" quotePrefix="0" xfId="0">
      <alignment horizontal="center" vertical="center"/>
    </xf>
    <xf numFmtId="0" fontId="6" fillId="2" borderId="0" pivotButton="0" quotePrefix="0" xfId="0"/>
    <xf numFmtId="168" fontId="4" fillId="6" borderId="2" applyAlignment="1" pivotButton="0" quotePrefix="0" xfId="0">
      <alignment horizontal="center" vertical="center"/>
    </xf>
    <xf numFmtId="169" fontId="4" fillId="6" borderId="2" applyAlignment="1" pivotButton="0" quotePrefix="0" xfId="0">
      <alignment horizontal="center" vertical="center"/>
    </xf>
    <xf numFmtId="170" fontId="4" fillId="6" borderId="2" applyAlignment="1" pivotButton="0" quotePrefix="0" xfId="0">
      <alignment horizontal="center" vertical="center"/>
    </xf>
    <xf numFmtId="49" fontId="9" fillId="3" borderId="0" applyAlignment="1" pivotButton="0" quotePrefix="0" xfId="0">
      <alignment horizontal="center" vertical="center"/>
    </xf>
    <xf numFmtId="167" fontId="9" fillId="3" borderId="0" applyAlignment="1" pivotButton="0" quotePrefix="0" xfId="0">
      <alignment horizontal="center" vertical="center"/>
    </xf>
    <xf numFmtId="2" fontId="9" fillId="3" borderId="0" applyAlignment="1" pivotButton="0" quotePrefix="0" xfId="0">
      <alignment horizontal="center" vertical="center"/>
    </xf>
    <xf numFmtId="167" fontId="9" fillId="2" borderId="0" applyAlignment="1" pivotButton="0" quotePrefix="0" xfId="0">
      <alignment horizontal="center" vertical="center"/>
    </xf>
    <xf numFmtId="2" fontId="9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9" fontId="5" fillId="6" borderId="2" applyAlignment="1" pivotButton="0" quotePrefix="0" xfId="0">
      <alignment horizontal="center" vertical="center"/>
    </xf>
    <xf numFmtId="170" fontId="5" fillId="6" borderId="2" applyAlignment="1" pivotButton="0" quotePrefix="0" xfId="0">
      <alignment horizontal="center" vertical="center"/>
    </xf>
    <xf numFmtId="10" fontId="5" fillId="6" borderId="2" applyAlignment="1" pivotButton="0" quotePrefix="0" xfId="0">
      <alignment horizontal="center" vertical="center"/>
    </xf>
    <xf numFmtId="169" fontId="9" fillId="3" borderId="0" applyAlignment="1" pivotButton="0" quotePrefix="0" xfId="0">
      <alignment horizontal="center" vertical="center"/>
    </xf>
    <xf numFmtId="169" fontId="9" fillId="2" borderId="0" applyAlignment="1" pivotButton="0" quotePrefix="0" xfId="0">
      <alignment horizontal="center" vertical="center"/>
    </xf>
    <xf numFmtId="1" fontId="4" fillId="6" borderId="2" applyAlignment="1" pivotButton="0" quotePrefix="0" xfId="0">
      <alignment horizontal="center" vertical="center"/>
    </xf>
    <xf numFmtId="4" fontId="4" fillId="6" borderId="2" applyAlignment="1" pivotButton="0" quotePrefix="0" xfId="0">
      <alignment horizontal="center" vertical="center"/>
    </xf>
    <xf numFmtId="1" fontId="5" fillId="6" borderId="2" applyAlignment="1" pivotButton="0" quotePrefix="0" xfId="0">
      <alignment horizontal="center" vertical="center"/>
    </xf>
    <xf numFmtId="4" fontId="5" fillId="6" borderId="2" applyAlignment="1" pivotButton="0" quotePrefix="0" xfId="0">
      <alignment horizontal="center" vertical="center"/>
    </xf>
    <xf numFmtId="1" fontId="6" fillId="2" borderId="0" pivotButton="0" quotePrefix="0" xfId="0"/>
    <xf numFmtId="10" fontId="6" fillId="2" borderId="0" pivotButton="0" quotePrefix="0" xfId="0"/>
    <xf numFmtId="0" fontId="9" fillId="6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71" fontId="9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4" fontId="9" fillId="2" borderId="0" applyAlignment="1" pivotButton="0" quotePrefix="0" xfId="0">
      <alignment horizontal="center" vertical="center"/>
    </xf>
    <xf numFmtId="4" fontId="9" fillId="3" borderId="0" applyAlignment="1" pivotButton="0" quotePrefix="0" xfId="0">
      <alignment horizontal="center" vertical="center"/>
    </xf>
    <xf numFmtId="170" fontId="9" fillId="2" borderId="0" applyAlignment="1" pivotButton="0" quotePrefix="0" xfId="0">
      <alignment horizontal="center" vertical="center"/>
    </xf>
    <xf numFmtId="170" fontId="9" fillId="3" borderId="0" applyAlignment="1" pivotButton="0" quotePrefix="0" xfId="0">
      <alignment horizontal="center" vertical="center"/>
    </xf>
    <xf numFmtId="1" fontId="11" fillId="2" borderId="0" applyAlignment="1" pivotButton="0" quotePrefix="0" xfId="0">
      <alignment horizontal="center" vertical="center"/>
    </xf>
    <xf numFmtId="10" fontId="11" fillId="2" borderId="0" applyAlignment="1" pivotButton="0" quotePrefix="0" xfId="0">
      <alignment horizontal="center" vertical="center"/>
    </xf>
    <xf numFmtId="170" fontId="11" fillId="2" borderId="0" applyAlignment="1" pivotButton="0" quotePrefix="0" xfId="0">
      <alignment horizontal="center" vertical="center"/>
    </xf>
    <xf numFmtId="169" fontId="11" fillId="2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49" fontId="4" fillId="6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2" fillId="2" borderId="0" pivotButton="0" quotePrefix="0" xfId="0"/>
    <xf numFmtId="0" fontId="10" fillId="3" borderId="0" applyAlignment="1" pivotButton="0" quotePrefix="0" xfId="0">
      <alignment horizontal="left" vertical="center"/>
    </xf>
    <xf numFmtId="167" fontId="11" fillId="3" borderId="0" applyAlignment="1" pivotButton="0" quotePrefix="0" xfId="0">
      <alignment horizontal="center" vertical="center"/>
    </xf>
    <xf numFmtId="2" fontId="4" fillId="6" borderId="2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167" fontId="11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/>
    </xf>
    <xf numFmtId="10" fontId="11" fillId="3" borderId="0" applyAlignment="1" pivotButton="0" quotePrefix="0" xfId="0">
      <alignment horizontal="center" vertical="center"/>
    </xf>
    <xf numFmtId="1" fontId="11" fillId="3" borderId="0" applyAlignment="1" pivotButton="0" quotePrefix="0" xfId="0">
      <alignment horizontal="center" vertical="center"/>
    </xf>
    <xf numFmtId="2" fontId="11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2" fontId="11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172" fontId="4" fillId="6" borderId="2" applyAlignment="1" pivotButton="0" quotePrefix="0" xfId="0">
      <alignment horizontal="center" vertical="center"/>
    </xf>
    <xf numFmtId="169" fontId="4" fillId="2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170" fontId="4" fillId="2" borderId="0" applyAlignment="1" pivotButton="0" quotePrefix="0" xfId="0">
      <alignment horizontal="center" vertical="center"/>
    </xf>
    <xf numFmtId="10" fontId="4" fillId="6" borderId="0" applyAlignment="1" pivotButton="0" quotePrefix="0" xfId="0">
      <alignment horizontal="center" vertical="center"/>
    </xf>
    <xf numFmtId="10" fontId="20" fillId="8" borderId="2" applyAlignment="1" pivotButton="0" quotePrefix="0" xfId="0">
      <alignment horizontal="center" vertical="center"/>
    </xf>
    <xf numFmtId="10" fontId="20" fillId="7" borderId="2" applyAlignment="1" pivotButton="0" quotePrefix="0" xfId="0">
      <alignment horizontal="center" vertical="center"/>
    </xf>
    <xf numFmtId="10" fontId="20" fillId="9" borderId="2" applyAlignment="1" pivotButton="0" quotePrefix="0" xfId="0">
      <alignment horizontal="center" vertical="center"/>
    </xf>
    <xf numFmtId="0" fontId="21" fillId="0" borderId="0" pivotButton="0" quotePrefix="0" xfId="0"/>
    <xf numFmtId="169" fontId="20" fillId="9" borderId="0" applyAlignment="1" pivotButton="0" quotePrefix="0" xfId="0">
      <alignment horizontal="center" vertical="center"/>
    </xf>
    <xf numFmtId="49" fontId="20" fillId="9" borderId="0" applyAlignment="1" pivotButton="0" quotePrefix="0" xfId="0">
      <alignment horizontal="center" vertical="center"/>
    </xf>
    <xf numFmtId="170" fontId="20" fillId="9" borderId="0" applyAlignment="1" pivotButton="0" quotePrefix="0" xfId="0">
      <alignment horizontal="center" vertical="center"/>
    </xf>
    <xf numFmtId="10" fontId="20" fillId="8" borderId="0" applyAlignment="1" pivotButton="0" quotePrefix="0" xfId="0">
      <alignment horizontal="center" vertical="center"/>
    </xf>
    <xf numFmtId="172" fontId="20" fillId="8" borderId="2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3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3" borderId="4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4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13" fillId="4" borderId="4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10" fontId="22" fillId="11" borderId="2" applyAlignment="1" pivotButton="0" quotePrefix="0" xfId="0">
      <alignment horizontal="center" vertical="center"/>
    </xf>
    <xf numFmtId="10" fontId="22" fillId="10" borderId="2" applyAlignment="1" pivotButton="0" quotePrefix="0" xfId="0">
      <alignment horizontal="center" vertical="center"/>
    </xf>
    <xf numFmtId="10" fontId="22" fillId="12" borderId="2" applyAlignment="1" pivotButton="0" quotePrefix="0" xfId="0">
      <alignment horizontal="center" vertical="center"/>
    </xf>
    <xf numFmtId="0" fontId="23" fillId="0" borderId="0" pivotButton="0" quotePrefix="0" xfId="0"/>
    <xf numFmtId="174" fontId="22" fillId="12" borderId="0" applyAlignment="1" pivotButton="0" quotePrefix="0" xfId="0">
      <alignment horizontal="center" vertical="center"/>
    </xf>
    <xf numFmtId="49" fontId="22" fillId="12" borderId="0" applyAlignment="1" pivotButton="0" quotePrefix="0" xfId="0">
      <alignment horizontal="center" vertical="center"/>
    </xf>
    <xf numFmtId="170" fontId="22" fillId="12" borderId="0" applyAlignment="1" pivotButton="0" quotePrefix="0" xfId="0">
      <alignment horizontal="center" vertical="center"/>
    </xf>
    <xf numFmtId="10" fontId="22" fillId="11" borderId="0" applyAlignment="1" pivotButton="0" quotePrefix="0" xfId="0">
      <alignment horizontal="center" vertical="center"/>
    </xf>
    <xf numFmtId="172" fontId="22" fillId="11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B6AA0"/>
    <outlinePr summaryBelow="1" summaryRight="1"/>
    <pageSetUpPr/>
  </sheetPr>
  <dimension ref="A1:K90"/>
  <sheetViews>
    <sheetView showGridLines="0" zoomScale="160" zoomScaleNormal="160" workbookViewId="0">
      <pane xSplit="1" ySplit="4" topLeftCell="B22" activePane="bottomRight" state="frozen"/>
      <selection pane="topRight" activeCell="A1" sqref="A1"/>
      <selection pane="bottomLeft" activeCell="A1" sqref="A1"/>
      <selection pane="bottomRight" activeCell="G32" sqref="G32:J33"/>
    </sheetView>
  </sheetViews>
  <sheetFormatPr baseColWidth="10" defaultColWidth="8.83203125" defaultRowHeight="15"/>
  <cols>
    <col width="1.5" customWidth="1" style="108" min="1" max="1"/>
    <col width="24" customWidth="1" style="108" min="2" max="2"/>
    <col width="16" customWidth="1" style="108" min="3" max="5"/>
    <col width="1.5" customWidth="1" style="108" min="6" max="6"/>
    <col width="24" customWidth="1" style="108" min="7" max="7"/>
    <col width="16" customWidth="1" style="108" min="8" max="10"/>
    <col width="1.5" customWidth="1" style="108" min="11" max="11"/>
  </cols>
  <sheetData>
    <row r="1" ht="5" customHeight="1" s="10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 s="108">
      <c r="A2" s="2" t="n"/>
      <c r="B2" s="117" t="inlineStr">
        <is>
          <t>NGX EQUITY SCREENING FRAMEWORK</t>
        </is>
      </c>
      <c r="C2" s="106" t="n"/>
      <c r="D2" s="106" t="n"/>
      <c r="E2" s="106" t="n"/>
      <c r="F2" s="106" t="n"/>
      <c r="G2" s="106" t="n"/>
      <c r="H2" s="106" t="n"/>
      <c r="I2" s="106" t="n"/>
      <c r="J2" s="106" t="n"/>
      <c r="K2" s="2" t="n"/>
    </row>
    <row r="3" ht="14" customHeight="1" s="108">
      <c r="A3" s="2" t="n"/>
      <c r="B3" s="107" t="inlineStr">
        <is>
          <t>Growth  ·  Dividend Income  ·  Value  —  Nigerian Exchange  ·  May 2026</t>
        </is>
      </c>
      <c r="K3" s="2" t="n"/>
    </row>
    <row r="4" ht="8" customHeight="1" s="108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16" customHeight="1" s="108">
      <c r="A5" s="2" t="n"/>
      <c r="B5" s="105" t="inlineStr">
        <is>
          <t>MARKET CONTEXT</t>
        </is>
      </c>
      <c r="C5" s="106" t="n"/>
      <c r="D5" s="106" t="n"/>
      <c r="E5" s="106" t="n"/>
      <c r="F5" s="106" t="n"/>
      <c r="G5" s="106" t="n"/>
      <c r="H5" s="106" t="n"/>
      <c r="I5" s="106" t="n"/>
      <c r="J5" s="106" t="n"/>
      <c r="K5" s="2" t="n"/>
    </row>
    <row r="6" ht="15" customHeight="1" s="108">
      <c r="A6" s="2" t="n"/>
      <c r="B6" s="4" t="inlineStr">
        <is>
          <t xml:space="preserve">  NGX Market Cap</t>
        </is>
      </c>
      <c r="C6" s="5" t="inlineStr">
        <is>
          <t>₦156 Trillion</t>
        </is>
      </c>
      <c r="D6" s="112" t="inlineStr">
        <is>
          <t xml:space="preserve">  USD ~113 billion</t>
        </is>
      </c>
      <c r="F6" s="7" t="n"/>
      <c r="G6" s="2" t="n"/>
      <c r="H6" s="2" t="n"/>
      <c r="I6" s="2" t="n"/>
      <c r="J6" s="2" t="n"/>
      <c r="K6" s="2" t="n"/>
    </row>
    <row r="7" ht="15" customHeight="1" s="108">
      <c r="A7" s="2" t="n"/>
      <c r="B7" s="118" t="inlineStr">
        <is>
          <t xml:space="preserve">  Listed Equities</t>
        </is>
      </c>
      <c r="C7" s="9" t="inlineStr">
        <is>
          <t>146 companies</t>
        </is>
      </c>
      <c r="D7" s="107" t="inlineStr">
        <is>
          <t xml:space="preserve">  Main Board + Growth Board</t>
        </is>
      </c>
      <c r="F7" s="7" t="n"/>
      <c r="G7" s="2" t="n"/>
      <c r="H7" s="2" t="n"/>
      <c r="I7" s="2" t="n"/>
      <c r="J7" s="2" t="n"/>
      <c r="K7" s="2" t="n"/>
    </row>
    <row r="8" ht="15" customHeight="1" s="108">
      <c r="A8" s="2" t="n"/>
      <c r="B8" s="4" t="inlineStr">
        <is>
          <t xml:space="preserve">  Risk-Free Rate</t>
        </is>
      </c>
      <c r="C8" s="5" t="inlineStr">
        <is>
          <t>~18 – 20%</t>
        </is>
      </c>
      <c r="D8" s="112" t="inlineStr">
        <is>
          <t xml:space="preserve">  91-day T-bill yield — equity hurdle rate</t>
        </is>
      </c>
      <c r="F8" s="7" t="n"/>
      <c r="G8" s="2" t="n"/>
      <c r="H8" s="2" t="n"/>
      <c r="I8" s="2" t="n"/>
      <c r="J8" s="2" t="n"/>
      <c r="K8" s="2" t="n"/>
    </row>
    <row r="9" ht="15" customHeight="1" s="108">
      <c r="A9" s="2" t="n"/>
      <c r="B9" s="118" t="inlineStr">
        <is>
          <t xml:space="preserve">  CPI Inflation</t>
        </is>
      </c>
      <c r="C9" s="9" t="inlineStr">
        <is>
          <t>~30%+</t>
        </is>
      </c>
      <c r="D9" s="107" t="inlineStr">
        <is>
          <t xml:space="preserve">  Real return bar — equity must clear this</t>
        </is>
      </c>
      <c r="F9" s="7" t="n"/>
      <c r="G9" s="2" t="n"/>
      <c r="H9" s="2" t="n"/>
      <c r="I9" s="2" t="n"/>
      <c r="J9" s="2" t="n"/>
      <c r="K9" s="2" t="n"/>
    </row>
    <row r="10" ht="15" customHeight="1" s="108">
      <c r="A10" s="2" t="n"/>
      <c r="B10" s="4" t="inlineStr">
        <is>
          <t xml:space="preserve">  CBN Policy Rate</t>
        </is>
      </c>
      <c r="C10" s="5" t="inlineStr">
        <is>
          <t>~27%</t>
        </is>
      </c>
      <c r="D10" s="112" t="inlineStr">
        <is>
          <t xml:space="preserve">  High-rate environment; leverage is expensive</t>
        </is>
      </c>
      <c r="F10" s="7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6" customHeight="1" s="108">
      <c r="A12" s="2" t="n"/>
      <c r="B12" s="113" t="inlineStr">
        <is>
          <t>GROWTH  ·  3–7 yr</t>
        </is>
      </c>
      <c r="C12" s="106" t="n"/>
      <c r="D12" s="2" t="n"/>
      <c r="E12" s="110" t="inlineStr">
        <is>
          <t>DIVIDEND  ·  Any</t>
        </is>
      </c>
      <c r="F12" s="106" t="n"/>
      <c r="G12" s="2" t="n"/>
      <c r="H12" s="113" t="inlineStr">
        <is>
          <t>VALUE  ·  2–5 yr</t>
        </is>
      </c>
      <c r="I12" s="106" t="n"/>
      <c r="J12" s="2" t="n"/>
      <c r="K12" s="2" t="n"/>
    </row>
    <row r="13" ht="14" customHeight="1" s="108">
      <c r="A13" s="2" t="n"/>
      <c r="B13" s="4" t="inlineStr">
        <is>
          <t xml:space="preserve">  Revenue Growth YoY</t>
        </is>
      </c>
      <c r="C13" s="5" t="inlineStr">
        <is>
          <t>≥ 25%</t>
        </is>
      </c>
      <c r="D13" s="2" t="n"/>
      <c r="E13" s="118" t="inlineStr">
        <is>
          <t xml:space="preserve">  Dividend Yield</t>
        </is>
      </c>
      <c r="F13" s="9" t="inlineStr">
        <is>
          <t>≥ 8% (pref ≥ 12%)</t>
        </is>
      </c>
      <c r="G13" s="2" t="n"/>
      <c r="H13" s="4" t="inlineStr">
        <is>
          <t xml:space="preserve">  P / E Ratio</t>
        </is>
      </c>
      <c r="I13" s="5" t="inlineStr">
        <is>
          <t>≤ 6x bank / ≤ 10x ind.</t>
        </is>
      </c>
      <c r="J13" s="2" t="n"/>
      <c r="K13" s="2" t="n"/>
    </row>
    <row r="14" ht="14" customHeight="1" s="108">
      <c r="A14" s="2" t="n"/>
      <c r="B14" s="118" t="inlineStr">
        <is>
          <t xml:space="preserve">  EPS Growth YoY</t>
        </is>
      </c>
      <c r="C14" s="9" t="inlineStr">
        <is>
          <t>≥ 20%</t>
        </is>
      </c>
      <c r="D14" s="2" t="n"/>
      <c r="E14" s="118" t="inlineStr">
        <is>
          <t xml:space="preserve">  Payout Ratio</t>
        </is>
      </c>
      <c r="F14" s="9" t="inlineStr">
        <is>
          <t>20 – 60%</t>
        </is>
      </c>
      <c r="G14" s="2" t="n"/>
      <c r="H14" s="118" t="inlineStr">
        <is>
          <t xml:space="preserve">  P / B Ratio</t>
        </is>
      </c>
      <c r="I14" s="9" t="inlineStr">
        <is>
          <t>≤ 1.0x  (target ≤ 0.8x)</t>
        </is>
      </c>
      <c r="J14" s="2" t="n"/>
      <c r="K14" s="2" t="n"/>
    </row>
    <row r="15" ht="14" customHeight="1" s="108">
      <c r="A15" s="2" t="n"/>
      <c r="B15" s="4" t="inlineStr">
        <is>
          <t xml:space="preserve">  Return on Equity</t>
        </is>
      </c>
      <c r="C15" s="5" t="inlineStr">
        <is>
          <t>≥ 20%</t>
        </is>
      </c>
      <c r="D15" s="2" t="n"/>
      <c r="E15" s="118" t="inlineStr">
        <is>
          <t xml:space="preserve">  FCF / Div. Cover</t>
        </is>
      </c>
      <c r="F15" s="9" t="inlineStr">
        <is>
          <t>≥ 1.5x</t>
        </is>
      </c>
      <c r="G15" s="2" t="n"/>
      <c r="H15" s="4" t="inlineStr">
        <is>
          <t xml:space="preserve">  ROE Quality Gate</t>
        </is>
      </c>
      <c r="I15" s="5" t="inlineStr">
        <is>
          <t>≥ 12%</t>
        </is>
      </c>
      <c r="J15" s="2" t="n"/>
      <c r="K15" s="2" t="n"/>
    </row>
    <row r="16" ht="14" customHeight="1" s="108">
      <c r="A16" s="2" t="n"/>
      <c r="B16" s="118" t="inlineStr">
        <is>
          <t xml:space="preserve">  Net Profit Margin</t>
        </is>
      </c>
      <c r="C16" s="9" t="inlineStr">
        <is>
          <t>≥ 15 / 20% bank</t>
        </is>
      </c>
      <c r="D16" s="2" t="n"/>
      <c r="E16" s="118" t="inlineStr">
        <is>
          <t xml:space="preserve">  Dividend CAGR 5yr</t>
        </is>
      </c>
      <c r="F16" s="9" t="inlineStr">
        <is>
          <t>≥ 10%</t>
        </is>
      </c>
      <c r="G16" s="2" t="n"/>
      <c r="H16" s="118" t="inlineStr">
        <is>
          <t xml:space="preserve">  Margin of Safety</t>
        </is>
      </c>
      <c r="I16" s="9" t="inlineStr">
        <is>
          <t>≥ 30% below intrinsic</t>
        </is>
      </c>
      <c r="J16" s="2" t="n"/>
      <c r="K16" s="2" t="n"/>
    </row>
    <row r="17" ht="14" customHeight="1" s="108">
      <c r="A17" s="2" t="n"/>
      <c r="B17" s="4" t="inlineStr">
        <is>
          <t xml:space="preserve">  Debt / Equity</t>
        </is>
      </c>
      <c r="C17" s="5" t="inlineStr">
        <is>
          <t>≤ 1.5x</t>
        </is>
      </c>
      <c r="D17" s="2" t="n"/>
      <c r="E17" s="118" t="inlineStr">
        <is>
          <t xml:space="preserve">  Consecutive Div. Yrs</t>
        </is>
      </c>
      <c r="F17" s="9" t="inlineStr">
        <is>
          <t>≥ 5 years</t>
        </is>
      </c>
      <c r="G17" s="2" t="n"/>
      <c r="H17" s="4" t="inlineStr">
        <is>
          <t xml:space="preserve">  Net Debt / EBITDA</t>
        </is>
      </c>
      <c r="I17" s="5" t="inlineStr">
        <is>
          <t>≤ 2.5x</t>
        </is>
      </c>
      <c r="J17" s="2" t="n"/>
      <c r="K17" s="2" t="n"/>
    </row>
    <row r="18" ht="14" customHeight="1" s="108">
      <c r="A18" s="2" t="n"/>
      <c r="B18" s="118" t="inlineStr">
        <is>
          <t xml:space="preserve">  PEG Ratio</t>
        </is>
      </c>
      <c r="C18" s="9" t="inlineStr">
        <is>
          <t>≤ 1.0x</t>
        </is>
      </c>
      <c r="D18" s="2" t="n"/>
      <c r="E18" s="118" t="inlineStr">
        <is>
          <t xml:space="preserve">  EPS / DPS Cover</t>
        </is>
      </c>
      <c r="F18" s="9" t="inlineStr">
        <is>
          <t>≥ 1.5x</t>
        </is>
      </c>
      <c r="G18" s="2" t="n"/>
      <c r="H18" s="118" t="inlineStr">
        <is>
          <t xml:space="preserve">  Interest Coverage</t>
        </is>
      </c>
      <c r="I18" s="9" t="inlineStr">
        <is>
          <t>≥ 3.0x</t>
        </is>
      </c>
      <c r="J18" s="2" t="n"/>
      <c r="K18" s="2" t="n"/>
    </row>
    <row r="19" ht="14" customHeight="1" s="108">
      <c r="A19" s="2" t="n"/>
      <c r="B19" s="4" t="inlineStr">
        <is>
          <t xml:space="preserve">  FCF Margin</t>
        </is>
      </c>
      <c r="C19" s="5" t="inlineStr">
        <is>
          <t>≥ 10%</t>
        </is>
      </c>
      <c r="D19" s="2" t="n"/>
      <c r="E19" s="118" t="inlineStr">
        <is>
          <t xml:space="preserve">  Net Debt / EBITDA</t>
        </is>
      </c>
      <c r="F19" s="9" t="inlineStr">
        <is>
          <t>≤ 2.0x</t>
        </is>
      </c>
      <c r="G19" s="2" t="n"/>
      <c r="H19" s="4" t="inlineStr">
        <is>
          <t xml:space="preserve">  CAR (banks)</t>
        </is>
      </c>
      <c r="I19" s="5" t="inlineStr">
        <is>
          <t>≥ 15%</t>
        </is>
      </c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 ht="16" customHeight="1" s="108">
      <c r="A23" s="2" t="n"/>
      <c r="B23" s="105" t="inlineStr">
        <is>
          <t>UNIVERSAL NGX SCREENING RULES  —  Applied to all three strategies</t>
        </is>
      </c>
      <c r="C23" s="106" t="n"/>
      <c r="D23" s="106" t="n"/>
      <c r="E23" s="106" t="n"/>
      <c r="F23" s="106" t="n"/>
      <c r="G23" s="106" t="n"/>
      <c r="H23" s="106" t="n"/>
      <c r="I23" s="106" t="n"/>
      <c r="J23" s="106" t="n"/>
      <c r="K23" s="2" t="n"/>
    </row>
    <row r="24" ht="14" customHeight="1" s="108">
      <c r="A24" s="2" t="n"/>
      <c r="B24" s="4" t="inlineStr">
        <is>
          <t xml:space="preserve">  Inflation Hurdle</t>
        </is>
      </c>
      <c r="C24" s="112" t="inlineStr">
        <is>
          <t xml:space="preserve">  All equities must offer credible path to real returns exceeding ~30% inflation (yield + capital appreciation)</t>
        </is>
      </c>
      <c r="K24" s="2" t="n"/>
    </row>
    <row r="25" ht="14" customHeight="1" s="108">
      <c r="A25" s="2" t="n"/>
      <c r="B25" s="118" t="inlineStr">
        <is>
          <t xml:space="preserve">  FX Adjustment</t>
        </is>
      </c>
      <c r="C25" s="107" t="inlineStr">
        <is>
          <t xml:space="preserve">  Strip out 2024–25 naira revaluation gains from EPS and revenue. Only organic volume and price growth counts</t>
        </is>
      </c>
      <c r="K25" s="2" t="n"/>
    </row>
    <row r="26" ht="14" customHeight="1" s="108">
      <c r="A26" s="2" t="n"/>
      <c r="B26" s="4" t="inlineStr">
        <is>
          <t xml:space="preserve">  Liquidity Floor</t>
        </is>
      </c>
      <c r="C26" s="112" t="inlineStr">
        <is>
          <t xml:space="preserve">  Minimum average daily trading volume ≥ ₦50M. Illiquid positions cannot be sized or exited appropriately</t>
        </is>
      </c>
      <c r="K26" s="2" t="n"/>
    </row>
    <row r="27" ht="14" customHeight="1" s="108">
      <c r="A27" s="2" t="n"/>
      <c r="B27" s="118" t="inlineStr">
        <is>
          <t xml:space="preserve">  Governance</t>
        </is>
      </c>
      <c r="C27" s="107" t="inlineStr">
        <is>
          <t xml:space="preserve">  Verify NGX/SEC compliance status; independent directors majority; no outstanding regulatory sanctions</t>
        </is>
      </c>
      <c r="K27" s="2" t="n"/>
    </row>
    <row r="28" ht="14" customHeight="1" s="108">
      <c r="A28" s="2" t="n"/>
      <c r="B28" s="4" t="inlineStr">
        <is>
          <t xml:space="preserve">  Reporting Timeliness</t>
        </is>
      </c>
      <c r="C28" s="112" t="inlineStr">
        <is>
          <t xml:space="preserve">  Results filed within 90 days of period-end. Late filers are penalised — delays frequently conceal problems</t>
        </is>
      </c>
      <c r="K28" s="2" t="n"/>
    </row>
    <row r="29" ht="14" customHeight="1" s="108">
      <c r="A29" s="2" t="n"/>
      <c r="B29" s="118" t="inlineStr">
        <is>
          <t xml:space="preserve">  Auditor Quality</t>
        </is>
      </c>
      <c r="C29" s="107" t="inlineStr">
        <is>
          <t xml:space="preserve">  Prefer Big 4 or top-tier Nigerian firms (KPMG, PwC, Deloitte, EY). Unexplained auditor changes = investigate</t>
        </is>
      </c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6" customHeight="1" s="108">
      <c r="A31" s="2" t="n"/>
      <c r="B31" s="105" t="inlineStr">
        <is>
          <t>LAST ANALYZED STOCK  —  Auto-updated from Company Analyzer</t>
        </is>
      </c>
      <c r="C31" s="106" t="n"/>
      <c r="D31" s="106" t="n"/>
      <c r="E31" s="106" t="n"/>
      <c r="F31" s="106" t="n"/>
      <c r="G31" s="106" t="n"/>
      <c r="H31" s="106" t="n"/>
      <c r="I31" s="106" t="n"/>
      <c r="J31" s="106" t="n"/>
      <c r="K31" s="2" t="n"/>
    </row>
    <row r="32" ht="18" customHeight="1" s="108">
      <c r="A32" s="2" t="n"/>
      <c r="B32" s="116">
        <f>'Company Analyzer'!C8</f>
        <v/>
      </c>
      <c r="F32" s="2" t="n"/>
      <c r="G32" s="115">
        <f>Classification!B7</f>
        <v/>
      </c>
      <c r="K32" s="2" t="n"/>
    </row>
    <row r="33" ht="18" customHeight="1" s="108">
      <c r="A33" s="2" t="n"/>
      <c r="B33" s="106" t="n"/>
      <c r="C33" s="106" t="n"/>
      <c r="D33" s="106" t="n"/>
      <c r="E33" s="106" t="n"/>
      <c r="F33" s="2" t="n"/>
      <c r="K33" s="2" t="n"/>
    </row>
    <row r="34" ht="13" customHeight="1" s="108">
      <c r="A34" s="2" t="n"/>
      <c r="B34" s="114" t="inlineStr">
        <is>
          <t>Growth</t>
        </is>
      </c>
      <c r="D34" s="2" t="n"/>
      <c r="E34" s="114" t="inlineStr">
        <is>
          <t>Dividend</t>
        </is>
      </c>
      <c r="G34" s="2" t="n"/>
      <c r="H34" s="114" t="inlineStr">
        <is>
          <t>Value</t>
        </is>
      </c>
      <c r="J34" s="2" t="n"/>
      <c r="K34" s="2" t="n"/>
    </row>
    <row r="35" ht="28" customHeight="1" s="108">
      <c r="A35" s="2" t="n"/>
      <c r="B35" s="111">
        <f>Classification!C39</f>
        <v/>
      </c>
      <c r="D35" s="2" t="n"/>
      <c r="E35" s="111">
        <f>Classification!D39</f>
        <v/>
      </c>
      <c r="G35" s="2" t="n"/>
      <c r="H35" s="111">
        <f>Classification!E39</f>
        <v/>
      </c>
      <c r="J35" s="2" t="n"/>
      <c r="K35" s="2" t="n"/>
    </row>
    <row r="36">
      <c r="A36" s="2" t="n"/>
      <c r="B36" s="107" t="inlineStr">
        <is>
          <t xml:space="preserve">  Enter financials in the Company Analyzer sheet. Results update here automatically.</t>
        </is>
      </c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</sheetData>
  <mergeCells count="28">
    <mergeCell ref="E12:F12"/>
    <mergeCell ref="H35:I35"/>
    <mergeCell ref="D10:E10"/>
    <mergeCell ref="C24:J24"/>
    <mergeCell ref="B23:J23"/>
    <mergeCell ref="B12:C12"/>
    <mergeCell ref="D6:E6"/>
    <mergeCell ref="C26:J26"/>
    <mergeCell ref="E35:F35"/>
    <mergeCell ref="H34:I34"/>
    <mergeCell ref="C29:J29"/>
    <mergeCell ref="C25:J25"/>
    <mergeCell ref="E34:F34"/>
    <mergeCell ref="B5:J5"/>
    <mergeCell ref="D7:E7"/>
    <mergeCell ref="B34:C34"/>
    <mergeCell ref="B36:J36"/>
    <mergeCell ref="C27:J27"/>
    <mergeCell ref="D9:E9"/>
    <mergeCell ref="D8:E8"/>
    <mergeCell ref="G32:J33"/>
    <mergeCell ref="B32:E33"/>
    <mergeCell ref="H12:I12"/>
    <mergeCell ref="B3:J3"/>
    <mergeCell ref="B31:J31"/>
    <mergeCell ref="C28:J28"/>
    <mergeCell ref="B35:C3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B6AA0"/>
    <outlinePr summaryBelow="1" summaryRight="1"/>
    <pageSetUpPr/>
  </sheetPr>
  <dimension ref="A1:F120"/>
  <sheetViews>
    <sheetView showGridLines="0" zoomScale="130" zoomScaleNormal="130" workbookViewId="0">
      <pane ySplit="5" topLeftCell="A6" activePane="bottomLeft" state="frozen"/>
      <selection pane="bottomLeft" activeCell="C8" sqref="C8"/>
    </sheetView>
  </sheetViews>
  <sheetFormatPr baseColWidth="10" defaultColWidth="8.83203125" defaultRowHeight="15"/>
  <cols>
    <col width="1.5" customWidth="1" style="108" min="1" max="1"/>
    <col width="32" customWidth="1" style="108" min="2" max="2"/>
    <col width="18" customWidth="1" style="108" min="3" max="4"/>
    <col width="28" customWidth="1" style="108" min="5" max="5"/>
    <col width="1.5" customWidth="1" style="108" min="6" max="6"/>
  </cols>
  <sheetData>
    <row r="1" ht="5" customHeight="1" s="108">
      <c r="A1" s="2" t="n"/>
      <c r="B1" s="2" t="n"/>
      <c r="C1" s="2" t="n"/>
      <c r="D1" s="2" t="n"/>
      <c r="E1" s="2" t="n"/>
      <c r="F1" s="2" t="n"/>
    </row>
    <row r="2" ht="26" customHeight="1" s="108">
      <c r="A2" s="2" t="n"/>
      <c r="B2" s="109" t="inlineStr">
        <is>
          <t>COMPANY ANALYZER</t>
        </is>
      </c>
      <c r="C2" s="106" t="n"/>
      <c r="D2" s="106" t="n"/>
      <c r="E2" s="106" t="n"/>
      <c r="F2" s="2" t="n"/>
    </row>
    <row r="3" ht="14" customHeight="1" s="108">
      <c r="A3" s="2" t="n"/>
      <c r="B3" s="107" t="inlineStr">
        <is>
          <t>Enter figures from the annual report. Blue cells = your inputs. Black cells = calculated.</t>
        </is>
      </c>
      <c r="F3" s="2" t="n"/>
    </row>
    <row r="4" ht="14" customHeight="1" s="108">
      <c r="A4" s="2" t="n"/>
      <c r="B4" s="118" t="inlineStr">
        <is>
          <t>Inputs are in ₦ Billions unless the field states otherwise.</t>
        </is>
      </c>
      <c r="F4" s="2" t="n"/>
    </row>
    <row r="5">
      <c r="A5" s="2" t="n"/>
      <c r="B5" s="2" t="n"/>
      <c r="C5" s="2" t="n"/>
      <c r="D5" s="2" t="n"/>
      <c r="E5" s="2" t="n"/>
      <c r="F5" s="2" t="n"/>
    </row>
    <row r="6" ht="16" customHeight="1" s="108">
      <c r="A6" s="2" t="n"/>
      <c r="B6" s="105" t="inlineStr">
        <is>
          <t>1.  COMPANY INFORMATION</t>
        </is>
      </c>
      <c r="C6" s="106" t="n"/>
      <c r="D6" s="106" t="n"/>
      <c r="E6" s="106" t="n"/>
      <c r="F6" s="2" t="n"/>
    </row>
    <row r="7" ht="14" customHeight="1" s="108">
      <c r="A7" s="2" t="n"/>
      <c r="B7" s="10" t="inlineStr">
        <is>
          <t>Field</t>
        </is>
      </c>
      <c r="C7" s="10" t="inlineStr">
        <is>
          <t>Input</t>
        </is>
      </c>
      <c r="D7" s="10" t="inlineStr">
        <is>
          <t>Reference / Notes</t>
        </is>
      </c>
      <c r="E7" s="11" t="n"/>
      <c r="F7" s="2" t="n"/>
    </row>
    <row r="8" ht="15" customHeight="1" s="108">
      <c r="A8" s="2" t="n"/>
      <c r="B8" s="4" t="inlineStr">
        <is>
          <t xml:space="preserve">  Company Name</t>
        </is>
      </c>
      <c r="C8" s="12" t="inlineStr">
        <is>
          <t>Guaranty Trust Holding Co.</t>
        </is>
      </c>
      <c r="D8" s="112" t="inlineStr">
        <is>
          <t xml:space="preserve">  Full name as listed on NGX</t>
        </is>
      </c>
      <c r="F8" s="2" t="n"/>
    </row>
    <row r="9" ht="15" customHeight="1" s="108">
      <c r="A9" s="2" t="n"/>
      <c r="B9" s="118" t="inlineStr">
        <is>
          <t xml:space="preserve">  NGX Ticker</t>
        </is>
      </c>
      <c r="C9" s="12" t="inlineStr">
        <is>
          <t>GTCO</t>
        </is>
      </c>
      <c r="D9" s="107" t="inlineStr">
        <is>
          <t xml:space="preserve">  e.g.  GTCO, ZENITHBANK, DANGCEM</t>
        </is>
      </c>
      <c r="F9" s="2" t="n"/>
    </row>
    <row r="10" ht="15" customHeight="1" s="108">
      <c r="A10" s="2" t="n"/>
      <c r="B10" s="4" t="inlineStr">
        <is>
          <t xml:space="preserve">  Sector</t>
        </is>
      </c>
      <c r="C10" s="12" t="inlineStr">
        <is>
          <t>Banking</t>
        </is>
      </c>
      <c r="D10" s="112" t="inlineStr">
        <is>
          <t xml:space="preserve">  Banking | Consumer Goods | Industrial | Oil &amp; Gas | Telecoms | Healthcare | Insurance</t>
        </is>
      </c>
      <c r="F10" s="2" t="n"/>
    </row>
    <row r="11" ht="15" customHeight="1" s="108">
      <c r="A11" s="2" t="n"/>
      <c r="B11" s="118" t="inlineStr">
        <is>
          <t xml:space="preserve">  Reporting Period</t>
        </is>
      </c>
      <c r="C11" s="12" t="inlineStr">
        <is>
          <t>FY 2025</t>
        </is>
      </c>
      <c r="D11" s="107" t="inlineStr">
        <is>
          <t xml:space="preserve">  e.g.  FY 2025  or  Q1 2026</t>
        </is>
      </c>
      <c r="F11" s="2" t="n"/>
    </row>
    <row r="12" ht="15" customHeight="1" s="108">
      <c r="A12" s="2" t="n"/>
      <c r="B12" s="4" t="inlineStr">
        <is>
          <t xml:space="preserve">  Share Price (₦)</t>
        </is>
      </c>
      <c r="C12" s="12" t="inlineStr">
        <is>
          <t>130</t>
        </is>
      </c>
      <c r="D12" s="112" t="inlineStr">
        <is>
          <t xml:space="preserve">  Current market price in Naira</t>
        </is>
      </c>
      <c r="F12" s="2" t="n"/>
    </row>
    <row r="13" ht="15" customHeight="1" s="108">
      <c r="A13" s="2" t="n"/>
      <c r="B13" s="118" t="inlineStr">
        <is>
          <t xml:space="preserve">  Shares Outstanding (millions)</t>
        </is>
      </c>
      <c r="C13" s="12" t="inlineStr">
        <is>
          <t>29,431</t>
        </is>
      </c>
      <c r="D13" s="107" t="inlineStr">
        <is>
          <t xml:space="preserve">  Total shares in millions — from notes or NGX filings</t>
        </is>
      </c>
      <c r="F13" s="2" t="n"/>
    </row>
    <row r="14">
      <c r="A14" s="2" t="n"/>
      <c r="B14" s="2" t="n"/>
      <c r="C14" s="2" t="n"/>
      <c r="D14" s="2" t="n"/>
      <c r="E14" s="2" t="n"/>
      <c r="F14" s="2" t="n"/>
    </row>
    <row r="15" ht="16" customHeight="1" s="108">
      <c r="A15" s="2" t="n"/>
      <c r="B15" s="105" t="inlineStr">
        <is>
          <t>2.  INCOME STATEMENT  (₦ Billions)</t>
        </is>
      </c>
      <c r="C15" s="106" t="n"/>
      <c r="D15" s="106" t="n"/>
      <c r="E15" s="106" t="n"/>
      <c r="F15" s="2" t="n"/>
    </row>
    <row r="16" ht="14" customHeight="1" s="108">
      <c r="A16" s="2" t="n"/>
      <c r="B16" s="10" t="inlineStr">
        <is>
          <t>Metric</t>
        </is>
      </c>
      <c r="C16" s="10" t="inlineStr">
        <is>
          <t>Current Year</t>
        </is>
      </c>
      <c r="D16" s="10" t="inlineStr">
        <is>
          <t>Prior Year</t>
        </is>
      </c>
      <c r="E16" s="10" t="inlineStr">
        <is>
          <t>Where to find it</t>
        </is>
      </c>
      <c r="F16" s="2" t="n"/>
    </row>
    <row r="17" ht="18" customHeight="1" s="108">
      <c r="A17" s="2" t="n"/>
      <c r="B17" s="13" t="inlineStr">
        <is>
          <t xml:space="preserve">  Revenue / Gross Earnings</t>
        </is>
      </c>
      <c r="C17" s="12" t="inlineStr">
        <is>
          <t>1,230</t>
        </is>
      </c>
      <c r="D17" s="12" t="inlineStr">
        <is>
          <t>1,004</t>
        </is>
      </c>
      <c r="E17" s="107" t="inlineStr">
        <is>
          <t xml:space="preserve">  Top line — P&amp;L (use Gross Earnings for banks)</t>
        </is>
      </c>
      <c r="F17" s="2" t="n"/>
    </row>
    <row r="18" ht="18" customHeight="1" s="108">
      <c r="A18" s="2" t="n"/>
      <c r="B18" s="14" t="inlineStr">
        <is>
          <t xml:space="preserve">  Gross Profit</t>
        </is>
      </c>
      <c r="C18" s="12" t="inlineStr">
        <is>
          <t>900</t>
        </is>
      </c>
      <c r="D18" s="12" t="inlineStr">
        <is>
          <t>730</t>
        </is>
      </c>
      <c r="E18" s="112" t="inlineStr">
        <is>
          <t xml:space="preserve">  Revenue minus Cost of Goods Sold — P&amp;L</t>
        </is>
      </c>
      <c r="F18" s="2" t="n"/>
    </row>
    <row r="19" ht="18" customHeight="1" s="108">
      <c r="A19" s="2" t="n"/>
      <c r="B19" s="13" t="inlineStr">
        <is>
          <t xml:space="preserve">  Operating Profit  (EBIT)</t>
        </is>
      </c>
      <c r="C19" s="12" t="inlineStr">
        <is>
          <t>680</t>
        </is>
      </c>
      <c r="D19" s="12" t="inlineStr">
        <is>
          <t>540</t>
        </is>
      </c>
      <c r="E19" s="107" t="inlineStr">
        <is>
          <t xml:space="preserve">  Earnings Before Interest &amp; Tax — P&amp;L</t>
        </is>
      </c>
      <c r="F19" s="2" t="n"/>
    </row>
    <row r="20" ht="18" customHeight="1" s="108">
      <c r="A20" s="2" t="n"/>
      <c r="B20" s="14" t="inlineStr">
        <is>
          <t xml:space="preserve">  Interest Expense</t>
        </is>
      </c>
      <c r="C20" s="12" t="inlineStr">
        <is>
          <t>85</t>
        </is>
      </c>
      <c r="D20" s="12" t="inlineStr">
        <is>
          <t>72</t>
        </is>
      </c>
      <c r="E20" s="112" t="inlineStr">
        <is>
          <t xml:space="preserve">  Finance costs / Interest paid — P&amp;L notes</t>
        </is>
      </c>
      <c r="F20" s="2" t="n"/>
    </row>
    <row r="21" ht="18" customHeight="1" s="108">
      <c r="A21" s="2" t="n"/>
      <c r="B21" s="13" t="inlineStr">
        <is>
          <t xml:space="preserve">  Profit Before Tax  (PBT)</t>
        </is>
      </c>
      <c r="C21" s="12" t="inlineStr">
        <is>
          <t>1,230</t>
        </is>
      </c>
      <c r="D21" s="12" t="inlineStr">
        <is>
          <t>1,004</t>
        </is>
      </c>
      <c r="E21" s="107" t="inlineStr">
        <is>
          <t xml:space="preserve">  PBT line — use group consolidated figures</t>
        </is>
      </c>
      <c r="F21" s="2" t="n"/>
    </row>
    <row r="22" ht="18" customHeight="1" s="108">
      <c r="A22" s="2" t="n"/>
      <c r="B22" s="14" t="inlineStr">
        <is>
          <t xml:space="preserve">  Profit After Tax  (PAT / Net Profit)</t>
        </is>
      </c>
      <c r="C22" s="12" t="inlineStr">
        <is>
          <t>865</t>
        </is>
      </c>
      <c r="D22" s="12" t="inlineStr">
        <is>
          <t>1,020</t>
        </is>
      </c>
      <c r="E22" s="112" t="inlineStr">
        <is>
          <t xml:space="preserve">  Bottom-line net profit attributable to shareholders</t>
        </is>
      </c>
      <c r="F22" s="2" t="n"/>
    </row>
    <row r="23" ht="18" customHeight="1" s="108">
      <c r="A23" s="2" t="n"/>
      <c r="B23" s="13" t="inlineStr">
        <is>
          <t xml:space="preserve">  Earnings Per Share — EPS  (₦)</t>
        </is>
      </c>
      <c r="C23" s="12" t="inlineStr">
        <is>
          <t>25.43</t>
        </is>
      </c>
      <c r="D23" s="12" t="inlineStr">
        <is>
          <t>35.44</t>
        </is>
      </c>
      <c r="E23" s="107" t="inlineStr">
        <is>
          <t xml:space="preserve">  Basic EPS — P&amp;L or EPS note, not diluted</t>
        </is>
      </c>
      <c r="F23" s="2" t="n"/>
    </row>
    <row r="24">
      <c r="A24" s="2" t="n"/>
      <c r="B24" s="2" t="n"/>
      <c r="C24" s="2" t="n"/>
      <c r="D24" s="2" t="n"/>
      <c r="E24" s="2" t="n"/>
      <c r="F24" s="2" t="n"/>
    </row>
    <row r="25" ht="16" customHeight="1" s="108">
      <c r="A25" s="2" t="n"/>
      <c r="B25" s="105" t="inlineStr">
        <is>
          <t>3.  BALANCE SHEET  (₦ Billions)</t>
        </is>
      </c>
      <c r="C25" s="106" t="n"/>
      <c r="D25" s="106" t="n"/>
      <c r="E25" s="106" t="n"/>
      <c r="F25" s="2" t="n"/>
    </row>
    <row r="26" ht="14" customHeight="1" s="108">
      <c r="A26" s="2" t="n"/>
      <c r="B26" s="10" t="inlineStr">
        <is>
          <t>Metric</t>
        </is>
      </c>
      <c r="C26" s="10" t="inlineStr">
        <is>
          <t>Current Year</t>
        </is>
      </c>
      <c r="D26" s="10" t="inlineStr">
        <is>
          <t>Prior Year</t>
        </is>
      </c>
      <c r="E26" s="10" t="inlineStr">
        <is>
          <t>Where to find it</t>
        </is>
      </c>
      <c r="F26" s="2" t="n"/>
    </row>
    <row r="27" ht="18" customHeight="1" s="108">
      <c r="A27" s="2" t="n"/>
      <c r="B27" s="13" t="inlineStr">
        <is>
          <t xml:space="preserve">  Total Assets</t>
        </is>
      </c>
      <c r="C27" s="12" t="inlineStr">
        <is>
          <t>17,800</t>
        </is>
      </c>
      <c r="D27" s="12" t="inlineStr">
        <is>
          <t>15,700</t>
        </is>
      </c>
      <c r="E27" s="107" t="inlineStr">
        <is>
          <t xml:space="preserve">  Total Assets — Balance Sheet</t>
        </is>
      </c>
      <c r="F27" s="2" t="n"/>
    </row>
    <row r="28" ht="18" customHeight="1" s="108">
      <c r="A28" s="2" t="n"/>
      <c r="B28" s="14" t="inlineStr">
        <is>
          <t xml:space="preserve">  Total Shareholders' Equity</t>
        </is>
      </c>
      <c r="C28" s="12" t="inlineStr">
        <is>
          <t>3,400</t>
        </is>
      </c>
      <c r="D28" s="12" t="inlineStr">
        <is>
          <t>2,990</t>
        </is>
      </c>
      <c r="E28" s="112" t="inlineStr">
        <is>
          <t xml:space="preserve">  Total Equity / Shareholders' Funds — Balance Sheet</t>
        </is>
      </c>
      <c r="F28" s="2" t="n"/>
    </row>
    <row r="29" ht="18" customHeight="1" s="108">
      <c r="A29" s="2" t="n"/>
      <c r="B29" s="13" t="inlineStr">
        <is>
          <t xml:space="preserve">  Total Interest-Bearing Debt</t>
        </is>
      </c>
      <c r="C29" s="12" t="inlineStr">
        <is>
          <t>950</t>
        </is>
      </c>
      <c r="D29" s="12" t="inlineStr">
        <is>
          <t>810</t>
        </is>
      </c>
      <c r="E29" s="107" t="inlineStr">
        <is>
          <t xml:space="preserve">  Loans + Bonds + Borrowings (exclude customer deposits for banks)</t>
        </is>
      </c>
      <c r="F29" s="2" t="n"/>
    </row>
    <row r="30" ht="18" customHeight="1" s="108">
      <c r="A30" s="2" t="n"/>
      <c r="B30" s="14" t="inlineStr">
        <is>
          <t xml:space="preserve">  Cash &amp; Cash Equivalents</t>
        </is>
      </c>
      <c r="C30" s="12" t="inlineStr">
        <is>
          <t>1,200</t>
        </is>
      </c>
      <c r="D30" s="12" t="inlineStr">
        <is>
          <t>980</t>
        </is>
      </c>
      <c r="E30" s="112" t="inlineStr">
        <is>
          <t xml:space="preserve">  Cash + short-term investments — Balance Sheet</t>
        </is>
      </c>
      <c r="F30" s="2" t="n"/>
    </row>
    <row r="31" ht="18" customHeight="1" s="108">
      <c r="A31" s="2" t="n"/>
      <c r="B31" s="13" t="inlineStr">
        <is>
          <t xml:space="preserve">  Current Assets</t>
        </is>
      </c>
      <c r="C31" s="12" t="inlineStr">
        <is>
          <t>5,400</t>
        </is>
      </c>
      <c r="D31" s="12" t="inlineStr">
        <is>
          <t>4,200</t>
        </is>
      </c>
      <c r="E31" s="107" t="inlineStr">
        <is>
          <t xml:space="preserve">  Total current assets — Balance Sheet (non-bank only)</t>
        </is>
      </c>
      <c r="F31" s="2" t="n"/>
    </row>
    <row r="32" ht="18" customHeight="1" s="108">
      <c r="A32" s="2" t="n"/>
      <c r="B32" s="14" t="inlineStr">
        <is>
          <t xml:space="preserve">  Current Liabilities</t>
        </is>
      </c>
      <c r="C32" s="12" t="inlineStr">
        <is>
          <t>3,800</t>
        </is>
      </c>
      <c r="D32" s="12" t="inlineStr">
        <is>
          <t>3,100</t>
        </is>
      </c>
      <c r="E32" s="112" t="inlineStr">
        <is>
          <t xml:space="preserve">  Total current liabilities — Balance Sheet (non-bank only)</t>
        </is>
      </c>
      <c r="F32" s="2" t="n"/>
    </row>
    <row r="33" ht="18" customHeight="1" s="108">
      <c r="A33" s="2" t="n"/>
      <c r="B33" s="13" t="inlineStr">
        <is>
          <t xml:space="preserve">  Book Value Per Share  (₦)</t>
        </is>
      </c>
      <c r="C33" s="12" t="inlineStr">
        <is>
          <t>115.52</t>
        </is>
      </c>
      <c r="D33" s="12" t="inlineStr">
        <is>
          <t>101.60</t>
        </is>
      </c>
      <c r="E33" s="107" t="inlineStr">
        <is>
          <t xml:space="preserve">  Total Equity ÷ Shares Outstanding — or from notes</t>
        </is>
      </c>
      <c r="F33" s="2" t="n"/>
    </row>
    <row r="34" ht="18" customHeight="1" s="108">
      <c r="A34" s="2" t="n"/>
      <c r="B34" s="14" t="inlineStr">
        <is>
          <t xml:space="preserve">  Capital Adequacy Ratio  (%)</t>
        </is>
      </c>
      <c r="C34" s="12" t="inlineStr">
        <is>
          <t>43.8</t>
        </is>
      </c>
      <c r="D34" s="12" t="inlineStr">
        <is>
          <t>38.5</t>
        </is>
      </c>
      <c r="E34" s="112" t="inlineStr">
        <is>
          <t xml:space="preserve">  BANKS ONLY — regulatory capital disclosures</t>
        </is>
      </c>
      <c r="F34" s="2" t="n"/>
    </row>
    <row r="35" ht="18" customHeight="1" s="108">
      <c r="A35" s="2" t="n"/>
      <c r="B35" s="13" t="inlineStr">
        <is>
          <t xml:space="preserve">  Stage 3 / NPL Ratio  (%)</t>
        </is>
      </c>
      <c r="C35" s="12" t="inlineStr">
        <is>
          <t>3.4</t>
        </is>
      </c>
      <c r="D35" s="12" t="inlineStr">
        <is>
          <t>5.0</t>
        </is>
      </c>
      <c r="E35" s="107" t="inlineStr">
        <is>
          <t xml:space="preserve">  BANKS ONLY — credit risk note</t>
        </is>
      </c>
      <c r="F35" s="2" t="n"/>
    </row>
    <row r="36">
      <c r="A36" s="2" t="n"/>
      <c r="B36" s="2" t="n"/>
      <c r="C36" s="2" t="n"/>
      <c r="D36" s="2" t="n"/>
      <c r="E36" s="2" t="n"/>
      <c r="F36" s="2" t="n"/>
    </row>
    <row r="37" ht="16" customHeight="1" s="108">
      <c r="A37" s="2" t="n"/>
      <c r="B37" s="105" t="inlineStr">
        <is>
          <t>4.  CASH FLOW &amp; DIVIDEND DATA  (₦ Billions unless stated)</t>
        </is>
      </c>
      <c r="C37" s="106" t="n"/>
      <c r="D37" s="106" t="n"/>
      <c r="E37" s="106" t="n"/>
      <c r="F37" s="2" t="n"/>
    </row>
    <row r="38" ht="14" customHeight="1" s="108">
      <c r="A38" s="2" t="n"/>
      <c r="B38" s="10" t="inlineStr">
        <is>
          <t>Metric</t>
        </is>
      </c>
      <c r="C38" s="10" t="inlineStr">
        <is>
          <t>Current Value</t>
        </is>
      </c>
      <c r="D38" s="10" t="inlineStr">
        <is>
          <t>Prior / Historical</t>
        </is>
      </c>
      <c r="E38" s="10" t="inlineStr">
        <is>
          <t>Where to find it</t>
        </is>
      </c>
      <c r="F38" s="2" t="n"/>
    </row>
    <row r="39" ht="18" customHeight="1" s="108">
      <c r="A39" s="2" t="n"/>
      <c r="B39" s="13" t="inlineStr">
        <is>
          <t xml:space="preserve">  Operating Free Cash Flow  (₦B)</t>
        </is>
      </c>
      <c r="C39" s="12" t="inlineStr">
        <is>
          <t>750</t>
        </is>
      </c>
      <c r="D39" s="12" t="inlineStr">
        <is>
          <t>820</t>
        </is>
      </c>
      <c r="E39" s="107" t="inlineStr">
        <is>
          <t xml:space="preserve">  Cash from Operations minus Capex — Cash Flow Statement</t>
        </is>
      </c>
      <c r="F39" s="2" t="n"/>
    </row>
    <row r="40" ht="18" customHeight="1" s="108">
      <c r="A40" s="2" t="n"/>
      <c r="B40" s="14" t="inlineStr">
        <is>
          <t xml:space="preserve">  Total Dividends Paid  (₦B)</t>
        </is>
      </c>
      <c r="C40" s="12" t="inlineStr">
        <is>
          <t>375</t>
        </is>
      </c>
      <c r="D40" s="12" t="inlineStr">
        <is>
          <t>237</t>
        </is>
      </c>
      <c r="E40" s="112" t="inlineStr">
        <is>
          <t xml:space="preserve">  Cash paid as dividends — Financing section of Cash Flow</t>
        </is>
      </c>
      <c r="F40" s="2" t="n"/>
    </row>
    <row r="41" ht="18" customHeight="1" s="108">
      <c r="A41" s="2" t="n"/>
      <c r="B41" s="13" t="inlineStr">
        <is>
          <t xml:space="preserve">  Dividend Per Share — DPS  (₦)</t>
        </is>
      </c>
      <c r="C41" s="12" t="inlineStr">
        <is>
          <t>12.76</t>
        </is>
      </c>
      <c r="D41" s="12" t="inlineStr">
        <is>
          <t>8.03</t>
        </is>
      </c>
      <c r="E41" s="107" t="inlineStr">
        <is>
          <t xml:space="preserve">  DPS declared for the period — from dividend announcement</t>
        </is>
      </c>
      <c r="F41" s="2" t="n"/>
    </row>
    <row r="42" ht="18" customHeight="1" s="108">
      <c r="A42" s="2" t="n"/>
      <c r="B42" s="14" t="inlineStr">
        <is>
          <t xml:space="preserve">  DPS  Year -2  (₦)</t>
        </is>
      </c>
      <c r="C42" s="12" t="inlineStr">
        <is>
          <t>5.50</t>
        </is>
      </c>
      <c r="D42" s="12" t="inlineStr">
        <is>
          <t>4.50</t>
        </is>
      </c>
      <c r="E42" s="112" t="inlineStr">
        <is>
          <t xml:space="preserve">  DPS two years prior — for CAGR calculation</t>
        </is>
      </c>
      <c r="F42" s="2" t="n"/>
    </row>
    <row r="43" ht="18" customHeight="1" s="108">
      <c r="A43" s="2" t="n"/>
      <c r="B43" s="13" t="inlineStr">
        <is>
          <t xml:space="preserve">  DPS  Year -3  (₦)</t>
        </is>
      </c>
      <c r="C43" s="12" t="inlineStr">
        <is>
          <t>4.50</t>
        </is>
      </c>
      <c r="D43" s="12" t="inlineStr">
        <is>
          <t>3.80</t>
        </is>
      </c>
      <c r="E43" s="107" t="inlineStr">
        <is>
          <t xml:space="preserve">  DPS three years prior — for CAGR calculation</t>
        </is>
      </c>
      <c r="F43" s="2" t="n"/>
    </row>
    <row r="44" ht="18" customHeight="1" s="108">
      <c r="A44" s="2" t="n"/>
      <c r="B44" s="14" t="inlineStr">
        <is>
          <t xml:space="preserve">  DPS  Year -4  (₦)</t>
        </is>
      </c>
      <c r="C44" s="12" t="inlineStr">
        <is>
          <t>3.80</t>
        </is>
      </c>
      <c r="D44" s="12" t="inlineStr">
        <is>
          <t>3.20</t>
        </is>
      </c>
      <c r="E44" s="112" t="inlineStr">
        <is>
          <t xml:space="preserve">  DPS four years prior — for CAGR calculation</t>
        </is>
      </c>
      <c r="F44" s="2" t="n"/>
    </row>
    <row r="45" ht="18" customHeight="1" s="108">
      <c r="A45" s="2" t="n"/>
      <c r="B45" s="13" t="inlineStr">
        <is>
          <t xml:space="preserve">  Consecutive Dividend Years</t>
        </is>
      </c>
      <c r="C45" s="12" t="inlineStr">
        <is>
          <t>10</t>
        </is>
      </c>
      <c r="D45" s="15" t="n"/>
      <c r="E45" s="107" t="inlineStr">
        <is>
          <t xml:space="preserve">  How many consecutive years dividends have been paid</t>
        </is>
      </c>
      <c r="F45" s="2" t="n"/>
    </row>
    <row r="46" ht="18" customHeight="1" s="108">
      <c r="A46" s="2" t="n"/>
      <c r="B46" s="14" t="inlineStr">
        <is>
          <t xml:space="preserve">  Avg Daily Trading Volume  (₦ Millions)</t>
        </is>
      </c>
      <c r="C46" s="12" t="inlineStr">
        <is>
          <t>850</t>
        </is>
      </c>
      <c r="D46" s="16" t="n"/>
      <c r="E46" s="112" t="inlineStr">
        <is>
          <t xml:space="preserve">  Average daily turnover in ₦M — NGX market data</t>
        </is>
      </c>
      <c r="F46" s="2" t="n"/>
    </row>
    <row r="47" ht="18" customHeight="1" s="108">
      <c r="A47" s="2" t="n"/>
      <c r="B47" s="13" t="inlineStr">
        <is>
          <t xml:space="preserve">  Big 4 Auditor?  (1 = Yes  /  0 = No)</t>
        </is>
      </c>
      <c r="C47" s="12" t="inlineStr">
        <is>
          <t>1</t>
        </is>
      </c>
      <c r="D47" s="15" t="n"/>
      <c r="E47" s="107" t="inlineStr">
        <is>
          <t xml:space="preserve">  1 if KPMG, PwC, Deloitte, or EY Nigeria. 0 otherwise</t>
        </is>
      </c>
      <c r="F47" s="2" t="n"/>
    </row>
    <row r="48" ht="18" customHeight="1" s="108">
      <c r="A48" s="2" t="n"/>
      <c r="B48" s="14" t="inlineStr">
        <is>
          <t xml:space="preserve">  No Missed Dividend Years?  (1 = Yes)</t>
        </is>
      </c>
      <c r="C48" s="12" t="inlineStr">
        <is>
          <t>1</t>
        </is>
      </c>
      <c r="D48" s="16" t="n"/>
      <c r="E48" s="112" t="inlineStr">
        <is>
          <t xml:space="preserve">  1 if all dividend payments were made in the past 5 years</t>
        </is>
      </c>
      <c r="F48" s="2" t="n"/>
    </row>
    <row r="49">
      <c r="A49" s="2" t="n"/>
      <c r="B49" s="2" t="n"/>
      <c r="C49" s="2" t="n"/>
      <c r="D49" s="2" t="n"/>
      <c r="E49" s="2" t="n"/>
      <c r="F49" s="2" t="n"/>
    </row>
    <row r="50" ht="16" customHeight="1" s="108">
      <c r="A50" s="2" t="n"/>
      <c r="B50" s="105" t="inlineStr">
        <is>
          <t>5.  CALCULATED RATIOS  —  Do not edit. Formula-driven from inputs above.</t>
        </is>
      </c>
      <c r="C50" s="106" t="n"/>
      <c r="D50" s="106" t="n"/>
      <c r="E50" s="106" t="n"/>
      <c r="F50" s="2" t="n"/>
    </row>
    <row r="51" ht="14" customHeight="1" s="108">
      <c r="A51" s="2" t="n"/>
      <c r="B51" s="10" t="inlineStr">
        <is>
          <t>Ratio</t>
        </is>
      </c>
      <c r="C51" s="10" t="inlineStr">
        <is>
          <t>Value</t>
        </is>
      </c>
      <c r="D51" s="10" t="inlineStr">
        <is>
          <t>Threshold Reference</t>
        </is>
      </c>
      <c r="E51" s="10" t="inlineStr">
        <is>
          <t>Relevant Strategy</t>
        </is>
      </c>
      <c r="F51" s="2" t="n"/>
    </row>
    <row r="52" ht="15" customHeight="1" s="108">
      <c r="A52" s="2" t="n"/>
      <c r="B52" s="4" t="inlineStr">
        <is>
          <t xml:space="preserve">  Revenue Growth YoY</t>
        </is>
      </c>
      <c r="C52" s="17">
        <f>IFERROR((C17-D17)/ABS(D17),"-")</f>
        <v/>
      </c>
      <c r="D52" s="5" t="inlineStr">
        <is>
          <t>≥ 25%</t>
        </is>
      </c>
      <c r="E52" s="5" t="inlineStr">
        <is>
          <t>Growth</t>
        </is>
      </c>
      <c r="F52" s="2" t="n"/>
    </row>
    <row r="53" ht="15" customHeight="1" s="108">
      <c r="A53" s="2" t="n"/>
      <c r="B53" s="118" t="inlineStr">
        <is>
          <t xml:space="preserve">  EPS Growth YoY</t>
        </is>
      </c>
      <c r="C53" s="18">
        <f>IFERROR((C23-D23)/ABS(D23),"-")</f>
        <v/>
      </c>
      <c r="D53" s="9" t="inlineStr">
        <is>
          <t>≥ 20%</t>
        </is>
      </c>
      <c r="E53" s="9" t="inlineStr">
        <is>
          <t>Growth</t>
        </is>
      </c>
      <c r="F53" s="2" t="n"/>
    </row>
    <row r="54" ht="15" customHeight="1" s="108">
      <c r="A54" s="2" t="n"/>
      <c r="B54" s="4" t="inlineStr">
        <is>
          <t xml:space="preserve">  Gross Profit Margin</t>
        </is>
      </c>
      <c r="C54" s="17">
        <f>IFERROR(C18/C17,"-")</f>
        <v/>
      </c>
      <c r="D54" s="5" t="inlineStr">
        <is>
          <t>Expanding trend</t>
        </is>
      </c>
      <c r="E54" s="5" t="inlineStr">
        <is>
          <t>Growth</t>
        </is>
      </c>
      <c r="F54" s="2" t="n"/>
    </row>
    <row r="55" ht="15" customHeight="1" s="108">
      <c r="A55" s="2" t="n"/>
      <c r="B55" s="118" t="inlineStr">
        <is>
          <t xml:space="preserve">  Net Profit Margin</t>
        </is>
      </c>
      <c r="C55" s="18">
        <f>IFERROR(C22/C17,"-")</f>
        <v/>
      </c>
      <c r="D55" s="9" t="inlineStr">
        <is>
          <t>≥ 15 / 20% (bank)</t>
        </is>
      </c>
      <c r="E55" s="9" t="inlineStr">
        <is>
          <t>Growth</t>
        </is>
      </c>
      <c r="F55" s="2" t="n"/>
    </row>
    <row r="56" ht="15" customHeight="1" s="108">
      <c r="A56" s="2" t="n"/>
      <c r="B56" s="4" t="inlineStr">
        <is>
          <t xml:space="preserve">  Return on Equity</t>
        </is>
      </c>
      <c r="C56" s="17">
        <f>IFERROR(C22/((C28+D28)/2),"-")</f>
        <v/>
      </c>
      <c r="D56" s="5" t="inlineStr">
        <is>
          <t>≥ 20% G / 15% D / 12% V</t>
        </is>
      </c>
      <c r="E56" s="5" t="inlineStr">
        <is>
          <t>All</t>
        </is>
      </c>
      <c r="F56" s="2" t="n"/>
    </row>
    <row r="57" ht="15" customHeight="1" s="108">
      <c r="A57" s="2" t="n"/>
      <c r="B57" s="118" t="inlineStr">
        <is>
          <t xml:space="preserve">  Return on Assets</t>
        </is>
      </c>
      <c r="C57" s="18">
        <f>IFERROR(C22/((C27+D27)/2),"-")</f>
        <v/>
      </c>
      <c r="D57" s="9" t="inlineStr">
        <is>
          <t>≥ 5% / ≥ 2% bank</t>
        </is>
      </c>
      <c r="E57" s="9" t="inlineStr">
        <is>
          <t>Growth</t>
        </is>
      </c>
      <c r="F57" s="2" t="n"/>
    </row>
    <row r="58" ht="15" customHeight="1" s="108">
      <c r="A58" s="2" t="n"/>
      <c r="B58" s="4" t="inlineStr">
        <is>
          <t xml:space="preserve">  Debt / Equity</t>
        </is>
      </c>
      <c r="C58" s="19">
        <f>IFERROR(C29/C28,"-")</f>
        <v/>
      </c>
      <c r="D58" s="5" t="inlineStr">
        <is>
          <t>≤ 1.5x</t>
        </is>
      </c>
      <c r="E58" s="5" t="inlineStr">
        <is>
          <t>Growth / Value</t>
        </is>
      </c>
      <c r="F58" s="2" t="n"/>
    </row>
    <row r="59" ht="15" customHeight="1" s="108">
      <c r="A59" s="2" t="n"/>
      <c r="B59" s="118" t="inlineStr">
        <is>
          <t xml:space="preserve">  Net Debt / EBITDA</t>
        </is>
      </c>
      <c r="C59" s="20">
        <f>IFERROR((C29-C30)/(C19*1.3),"-")</f>
        <v/>
      </c>
      <c r="D59" s="9" t="inlineStr">
        <is>
          <t>≤ 2.0x D / ≤ 2.5x V</t>
        </is>
      </c>
      <c r="E59" s="9" t="inlineStr">
        <is>
          <t>Dividend / Value</t>
        </is>
      </c>
      <c r="F59" s="2" t="n"/>
    </row>
    <row r="60" ht="15" customHeight="1" s="108">
      <c r="A60" s="2" t="n"/>
      <c r="B60" s="4" t="inlineStr">
        <is>
          <t xml:space="preserve">  Interest Coverage</t>
        </is>
      </c>
      <c r="C60" s="21">
        <f>IFERROR(C19/C20,"-")</f>
        <v/>
      </c>
      <c r="D60" s="5" t="inlineStr">
        <is>
          <t>≥ 4x D / ≥ 3x V</t>
        </is>
      </c>
      <c r="E60" s="5" t="inlineStr">
        <is>
          <t>Dividend / Value</t>
        </is>
      </c>
      <c r="F60" s="2" t="n"/>
    </row>
    <row r="61" ht="15" customHeight="1" s="108">
      <c r="A61" s="2" t="n"/>
      <c r="B61" s="118" t="inlineStr">
        <is>
          <t xml:space="preserve">  Current Ratio</t>
        </is>
      </c>
      <c r="C61" s="20">
        <f>IFERROR(C31/C32,"-")</f>
        <v/>
      </c>
      <c r="D61" s="9" t="inlineStr">
        <is>
          <t>≥ 1.2x  (non-bank)</t>
        </is>
      </c>
      <c r="E61" s="9" t="inlineStr">
        <is>
          <t>Value</t>
        </is>
      </c>
      <c r="F61" s="2" t="n"/>
    </row>
    <row r="62" ht="15" customHeight="1" s="108">
      <c r="A62" s="2" t="n"/>
      <c r="B62" s="4" t="inlineStr">
        <is>
          <t xml:space="preserve">  P / E Ratio</t>
        </is>
      </c>
      <c r="C62" s="21">
        <f>IFERROR(C12/C23,"-")</f>
        <v/>
      </c>
      <c r="D62" s="5" t="inlineStr">
        <is>
          <t>≤ 6x bank / ≤ 10x</t>
        </is>
      </c>
      <c r="E62" s="5" t="inlineStr">
        <is>
          <t>Value</t>
        </is>
      </c>
      <c r="F62" s="2" t="n"/>
    </row>
    <row r="63" ht="15" customHeight="1" s="108">
      <c r="A63" s="2" t="n"/>
      <c r="B63" s="118" t="inlineStr">
        <is>
          <t xml:space="preserve">  P / B Ratio</t>
        </is>
      </c>
      <c r="C63" s="20">
        <f>IFERROR(C12/C33,"-")</f>
        <v/>
      </c>
      <c r="D63" s="9" t="inlineStr">
        <is>
          <t>≤ 1.0x  (pref ≤ 0.8x)</t>
        </is>
      </c>
      <c r="E63" s="9" t="inlineStr">
        <is>
          <t>Value</t>
        </is>
      </c>
      <c r="F63" s="2" t="n"/>
    </row>
    <row r="64" ht="15" customHeight="1" s="108">
      <c r="A64" s="2" t="n"/>
      <c r="B64" s="4" t="inlineStr">
        <is>
          <t xml:space="preserve">  Dividend Yield</t>
        </is>
      </c>
      <c r="C64" s="17">
        <f>IFERROR(C41/C12,"-")</f>
        <v/>
      </c>
      <c r="D64" s="5" t="inlineStr">
        <is>
          <t>≥ 8%  (pref ≥ 12%)</t>
        </is>
      </c>
      <c r="E64" s="5" t="inlineStr">
        <is>
          <t>Dividend</t>
        </is>
      </c>
      <c r="F64" s="2" t="n"/>
    </row>
    <row r="65" ht="15" customHeight="1" s="108">
      <c r="A65" s="2" t="n"/>
      <c r="B65" s="118" t="inlineStr">
        <is>
          <t xml:space="preserve">  Payout Ratio</t>
        </is>
      </c>
      <c r="C65" s="18">
        <f>IFERROR(C41/C23,"-")</f>
        <v/>
      </c>
      <c r="D65" s="9" t="inlineStr">
        <is>
          <t>20 – 60%</t>
        </is>
      </c>
      <c r="E65" s="9" t="inlineStr">
        <is>
          <t>Dividend</t>
        </is>
      </c>
      <c r="F65" s="2" t="n"/>
    </row>
    <row r="66" ht="15" customHeight="1" s="108">
      <c r="A66" s="2" t="n"/>
      <c r="B66" s="4" t="inlineStr">
        <is>
          <t xml:space="preserve">  FCF / Dividend Cover</t>
        </is>
      </c>
      <c r="C66" s="21">
        <f>IFERROR(C39/C40,"-")</f>
        <v/>
      </c>
      <c r="D66" s="5" t="inlineStr">
        <is>
          <t>≥ 1.5x</t>
        </is>
      </c>
      <c r="E66" s="5" t="inlineStr">
        <is>
          <t>Dividend</t>
        </is>
      </c>
      <c r="F66" s="2" t="n"/>
    </row>
    <row r="67" ht="15" customHeight="1" s="108">
      <c r="A67" s="2" t="n"/>
      <c r="B67" s="118" t="inlineStr">
        <is>
          <t xml:space="preserve">  EPS / DPS Cover</t>
        </is>
      </c>
      <c r="C67" s="22">
        <f>IFERROR(C23/C41,"-")</f>
        <v/>
      </c>
      <c r="D67" s="9" t="inlineStr">
        <is>
          <t>≥ 1.5x</t>
        </is>
      </c>
      <c r="E67" s="9" t="inlineStr">
        <is>
          <t>Dividend</t>
        </is>
      </c>
      <c r="F67" s="2" t="n"/>
    </row>
    <row r="68" ht="15" customHeight="1" s="108">
      <c r="A68" s="2" t="n"/>
      <c r="B68" s="4" t="inlineStr">
        <is>
          <t xml:space="preserve">  Dividend CAGR  (4-yr)</t>
        </is>
      </c>
      <c r="C68" s="17">
        <f>IFERROR((C41/C44)^(1/4)-1,"-")</f>
        <v/>
      </c>
      <c r="D68" s="5" t="inlineStr">
        <is>
          <t>≥ 10% p.a.</t>
        </is>
      </c>
      <c r="E68" s="5" t="inlineStr">
        <is>
          <t>Dividend</t>
        </is>
      </c>
      <c r="F68" s="2" t="n"/>
    </row>
    <row r="69" ht="15" customHeight="1" s="108">
      <c r="A69" s="2" t="n"/>
      <c r="B69" s="118" t="inlineStr">
        <is>
          <t xml:space="preserve">  Consecutive Div. Years</t>
        </is>
      </c>
      <c r="C69" s="23">
        <f>C45</f>
        <v/>
      </c>
      <c r="D69" s="9" t="inlineStr">
        <is>
          <t>≥ 5 years</t>
        </is>
      </c>
      <c r="E69" s="9" t="inlineStr">
        <is>
          <t>Dividend</t>
        </is>
      </c>
      <c r="F69" s="2" t="n"/>
    </row>
    <row r="70" ht="15" customHeight="1" s="108">
      <c r="A70" s="2" t="n"/>
      <c r="B70" s="4" t="inlineStr">
        <is>
          <t xml:space="preserve">  Avg Daily Vol  (₦M)</t>
        </is>
      </c>
      <c r="C70" s="24">
        <f>C46</f>
        <v/>
      </c>
      <c r="D70" s="5" t="inlineStr">
        <is>
          <t>≥ ₦50M</t>
        </is>
      </c>
      <c r="E70" s="5" t="inlineStr">
        <is>
          <t>All</t>
        </is>
      </c>
      <c r="F70" s="2" t="n"/>
    </row>
    <row r="71" ht="15" customHeight="1" s="108">
      <c r="A71" s="2" t="n"/>
      <c r="B71" s="118" t="inlineStr">
        <is>
          <t xml:space="preserve">  Capital Adequacy  %</t>
        </is>
      </c>
      <c r="C71" s="18">
        <f>C34</f>
        <v/>
      </c>
      <c r="D71" s="9" t="inlineStr">
        <is>
          <t>≥ 15%  (banks only)</t>
        </is>
      </c>
      <c r="E71" s="9" t="inlineStr">
        <is>
          <t>Value  (banks)</t>
        </is>
      </c>
      <c r="F71" s="2" t="n"/>
    </row>
    <row r="72" ht="15" customHeight="1" s="108">
      <c r="A72" s="2" t="n"/>
      <c r="B72" s="4" t="inlineStr">
        <is>
          <t xml:space="preserve">  Stage 3 / NPL  %</t>
        </is>
      </c>
      <c r="C72" s="17">
        <f>C35</f>
        <v/>
      </c>
      <c r="D72" s="5" t="inlineStr">
        <is>
          <t>≤ 5%  (banks only)</t>
        </is>
      </c>
      <c r="E72" s="5" t="inlineStr">
        <is>
          <t>Value  (banks)</t>
        </is>
      </c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107" t="inlineStr">
        <is>
          <t xml:space="preserve">  → Classification results are on the Classification sheet. It updates automatically.</t>
        </is>
      </c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</sheetData>
  <mergeCells count="14">
    <mergeCell ref="D8:E8"/>
    <mergeCell ref="D10:E10"/>
    <mergeCell ref="B4:E4"/>
    <mergeCell ref="B50:E50"/>
    <mergeCell ref="D11:E11"/>
    <mergeCell ref="D13:E13"/>
    <mergeCell ref="B6:E6"/>
    <mergeCell ref="B15:E15"/>
    <mergeCell ref="B25:E25"/>
    <mergeCell ref="B3:E3"/>
    <mergeCell ref="B2:E2"/>
    <mergeCell ref="B37:E37"/>
    <mergeCell ref="D9:E9"/>
    <mergeCell ref="D12:E12"/>
  </mergeCells>
  <dataValidations count="1">
    <dataValidation sqref="C10" showDropDown="0" showInputMessage="0" showErrorMessage="0" allowBlank="0" type="list">
      <formula1>"Banking,Consumer Goods,Industrial,Oil &amp; Gas,Telecoms,Healthcare,Insurance,Agriculture,REIT"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B6AA0"/>
    <outlinePr summaryBelow="1" summaryRight="1"/>
    <pageSetUpPr/>
  </sheetPr>
  <dimension ref="A1:F90"/>
  <sheetViews>
    <sheetView showGridLines="0" zoomScale="140" zoomScaleNormal="140" workbookViewId="0">
      <pane ySplit="5" topLeftCell="A6" activePane="bottomLeft" state="frozen"/>
      <selection pane="bottomLeft" activeCell="D40" sqref="D40"/>
    </sheetView>
  </sheetViews>
  <sheetFormatPr baseColWidth="10" defaultColWidth="8.83203125" defaultRowHeight="15"/>
  <cols>
    <col width="1.5" customWidth="1" style="108" min="1" max="1"/>
    <col width="32" customWidth="1" style="108" min="2" max="2"/>
    <col width="14" customWidth="1" style="108" min="3" max="5"/>
    <col width="1.5" customWidth="1" style="108" min="6" max="6"/>
  </cols>
  <sheetData>
    <row r="1" ht="5" customHeight="1" s="108">
      <c r="A1" s="2" t="n"/>
      <c r="B1" s="2" t="n"/>
      <c r="C1" s="2" t="n"/>
      <c r="D1" s="2" t="n"/>
      <c r="E1" s="2" t="n"/>
      <c r="F1" s="2" t="n"/>
    </row>
    <row r="2" ht="26" customHeight="1" s="108">
      <c r="A2" s="2" t="n"/>
      <c r="B2" s="116">
        <f>'Company Analyzer'!C8</f>
        <v/>
      </c>
      <c r="C2" s="106" t="n"/>
      <c r="D2" s="106" t="n"/>
      <c r="E2" s="106" t="n"/>
      <c r="F2" s="2" t="n"/>
    </row>
    <row r="3" ht="14" customHeight="1" s="108">
      <c r="A3" s="2" t="n"/>
      <c r="B3" s="120">
        <f>'Company Analyzer'!C10&amp;"   |   Ticker: "&amp;'Company Analyzer'!C9&amp;"   |   Price: ₦"&amp;TEXT('Company Analyzer'!C12,"#,##0.00")&amp;"   |   Period: "&amp;'Company Analyzer'!C11</f>
        <v/>
      </c>
      <c r="F3" s="2" t="n"/>
    </row>
    <row r="4" ht="13" customHeight="1" s="108">
      <c r="A4" s="2" t="n"/>
      <c r="B4" s="107" t="inlineStr">
        <is>
          <t xml:space="preserve">  Auto-classification from financials in Company Analyzer.  Black = formula.  Green = cross-sheet link.</t>
        </is>
      </c>
      <c r="F4" s="2" t="n"/>
    </row>
    <row r="5">
      <c r="A5" s="2" t="n"/>
      <c r="B5" s="2" t="n"/>
      <c r="C5" s="2" t="n"/>
      <c r="D5" s="2" t="n"/>
      <c r="E5" s="2" t="n"/>
      <c r="F5" s="2" t="n"/>
    </row>
    <row r="6" ht="14" customHeight="1" s="108">
      <c r="A6" s="2" t="n"/>
      <c r="B6" s="105" t="inlineStr">
        <is>
          <t>CLASSIFICATION</t>
        </is>
      </c>
      <c r="C6" s="106" t="n"/>
      <c r="D6" s="106" t="n"/>
      <c r="E6" s="106" t="n"/>
      <c r="F6" s="2" t="n"/>
    </row>
    <row r="7" ht="22" customHeight="1" s="108">
      <c r="A7" s="2" t="n"/>
      <c r="B7" s="121">
        <f>_xludf.TEXTJOIN("  +  ",TRUE,IF(OR(C39&gt;=0.7),"GROWTH",""),IF(OR(D39&gt;=0.7),"DIVIDEND",""),IF(OR(E39&gt;=0.7),"VALUE",""))</f>
        <v/>
      </c>
      <c r="F7" s="2" t="n"/>
    </row>
    <row r="8" ht="22" customHeight="1" s="108">
      <c r="A8" s="2" t="n"/>
      <c r="F8" s="2" t="n"/>
    </row>
    <row r="9" ht="22" customHeight="1" s="108">
      <c r="A9" s="2" t="n"/>
      <c r="F9" s="2" t="n"/>
    </row>
    <row r="10" ht="16" customHeight="1" s="108">
      <c r="A10" s="2" t="n"/>
      <c r="B10" s="122">
        <f>IF(AND(C39&lt;0.7,D39&lt;0.7,E39&lt;0.7),"DOES NOT MEET CRITERIA FOR ANY STRATEGY","")</f>
        <v/>
      </c>
      <c r="F10" s="2" t="n"/>
    </row>
    <row r="11" ht="15" customHeight="1" s="108">
      <c r="A11" s="2" t="n"/>
      <c r="B11" s="119">
        <f>"Growth: "&amp;TEXT(C39,"0%")&amp;" ("&amp;TEXT(C37,"0.0")&amp;" / "&amp;C38&amp;")   Dividend: "&amp;TEXT(D39,"0%")&amp;" ("&amp;TEXT(D37,"0.0")&amp;" / "&amp;D38&amp;")   Value: "&amp;TEXT(E39,"0%")&amp;" ("&amp;TEXT(E37,"0.0")&amp;" / "&amp;E38&amp;")"</f>
        <v/>
      </c>
      <c r="F11" s="2" t="n"/>
    </row>
    <row r="12" ht="14" customHeight="1" s="108">
      <c r="A12" s="2" t="n"/>
      <c r="B12" s="10" t="inlineStr">
        <is>
          <t>Criterion</t>
        </is>
      </c>
      <c r="C12" s="10" t="inlineStr">
        <is>
          <t>Growth</t>
        </is>
      </c>
      <c r="D12" s="10" t="inlineStr">
        <is>
          <t>Dividend</t>
        </is>
      </c>
      <c r="E12" s="10" t="inlineStr">
        <is>
          <t>Value</t>
        </is>
      </c>
      <c r="F12" s="2" t="n"/>
    </row>
    <row r="13" ht="16" customHeight="1" s="108">
      <c r="A13" s="2" t="n"/>
      <c r="B13" s="4" t="inlineStr">
        <is>
          <t xml:space="preserve">  Revenue Growth  ≥ 25%</t>
        </is>
      </c>
      <c r="C13" s="122">
        <f>IF('Company Analyzer'!C52&gt;=0.25,"PASS","FAIL")</f>
        <v/>
      </c>
      <c r="D13" s="122">
        <f>"—"</f>
        <v/>
      </c>
      <c r="E13" s="122">
        <f>"—"</f>
        <v/>
      </c>
      <c r="F13" s="2" t="n"/>
    </row>
    <row r="14" ht="16" customHeight="1" s="108">
      <c r="A14" s="2" t="n"/>
      <c r="B14" s="118" t="inlineStr">
        <is>
          <t xml:space="preserve">  EPS Growth  ≥ 20%</t>
        </is>
      </c>
      <c r="C14" s="26">
        <f>IF('Company Analyzer'!C53&gt;=0.2,"PASS","FAIL")</f>
        <v/>
      </c>
      <c r="D14" s="26">
        <f>"—"</f>
        <v/>
      </c>
      <c r="E14" s="26">
        <f>"—"</f>
        <v/>
      </c>
      <c r="F14" s="2" t="n"/>
    </row>
    <row r="15" ht="16" customHeight="1" s="108">
      <c r="A15" s="2" t="n"/>
      <c r="B15" s="4" t="inlineStr">
        <is>
          <t xml:space="preserve">  Return on Equity  (20% / 15% / 12%)</t>
        </is>
      </c>
      <c r="C15" s="122">
        <f>IF('Company Analyzer'!C56&gt;=0.2,"PASS","FAIL")</f>
        <v/>
      </c>
      <c r="D15" s="122">
        <f>IF('Company Analyzer'!C56&gt;=0.15,"PASS","FAIL")</f>
        <v/>
      </c>
      <c r="E15" s="122">
        <f>IF('Company Analyzer'!C56&gt;=0.12,"PASS","FAIL")</f>
        <v/>
      </c>
      <c r="F15" s="2" t="n"/>
    </row>
    <row r="16" ht="16" customHeight="1" s="108">
      <c r="A16" s="2" t="n"/>
      <c r="B16" s="118" t="inlineStr">
        <is>
          <t xml:space="preserve">  Net Profit Margin  ≥ 15% (non-bank) / 20% (bank)</t>
        </is>
      </c>
      <c r="C16" s="26">
        <f>IF(OR('Company Analyzer'!C10="Banking",'Company Analyzer'!C10="Insurance"),IF('Company Analyzer'!C55&gt;=0.2,"PASS","FAIL"),IF('Company Analyzer'!C55&gt;=0.15,"PASS","FAIL"))</f>
        <v/>
      </c>
      <c r="D16" s="26">
        <f>"—"</f>
        <v/>
      </c>
      <c r="E16" s="26">
        <f>"—"</f>
        <v/>
      </c>
      <c r="F16" s="2" t="n"/>
    </row>
    <row r="17" ht="16" customHeight="1" s="108">
      <c r="A17" s="2" t="n"/>
      <c r="B17" s="4" t="inlineStr">
        <is>
          <t xml:space="preserve">  Debt / Equity  ≤ 1.5x / 2.0x / 2.5x</t>
        </is>
      </c>
      <c r="C17" s="122">
        <f>IF(OR('Company Analyzer'!C10="Banking",'Company Analyzer'!C10="Insurance"),"N/A (Bank)",IF('Company Analyzer'!C58&lt;=1.5,"PASS","FAIL"))</f>
        <v/>
      </c>
      <c r="D17" s="122">
        <f>IF(OR('Company Analyzer'!C10="Banking",'Company Analyzer'!C10="Insurance"),"N/A (Bank)",IF('Company Analyzer'!C58&lt;=2,"PASS","FAIL"))</f>
        <v/>
      </c>
      <c r="E17" s="122">
        <f>IF(OR('Company Analyzer'!C10="Banking",'Company Analyzer'!C10="Insurance"),"N/A (Bank)",IF('Company Analyzer'!C58&lt;=2.5,"PASS","FAIL"))</f>
        <v/>
      </c>
      <c r="F17" s="2" t="n"/>
    </row>
    <row r="18" ht="16" customHeight="1" s="108">
      <c r="A18" s="2" t="n"/>
      <c r="B18" s="118" t="inlineStr">
        <is>
          <t xml:space="preserve">  Dividend Yield  ≥ 8% (floor) / ≥ 12% (preferred)</t>
        </is>
      </c>
      <c r="C18" s="26">
        <f>"—"</f>
        <v/>
      </c>
      <c r="D18" s="26">
        <f>IF('Company Analyzer'!C64&gt;=0.12,"PASS",IF('Company Analyzer'!C64&gt;=0.08,"PARTIAL","FAIL"))</f>
        <v/>
      </c>
      <c r="E18" s="26">
        <f>"—"</f>
        <v/>
      </c>
      <c r="F18" s="2" t="n"/>
    </row>
    <row r="19" ht="16" customHeight="1" s="108">
      <c r="A19" s="2" t="n"/>
      <c r="B19" s="4" t="inlineStr">
        <is>
          <t xml:space="preserve">  Payout Ratio  20 – 60%</t>
        </is>
      </c>
      <c r="C19" s="122">
        <f>"—"</f>
        <v/>
      </c>
      <c r="D19" s="122">
        <f>IF(AND('Company Analyzer'!C65&gt;=0.2,'Company Analyzer'!C65&lt;=0.6),"PASS","FAIL")</f>
        <v/>
      </c>
      <c r="E19" s="122">
        <f>"—"</f>
        <v/>
      </c>
      <c r="F19" s="2" t="n"/>
    </row>
    <row r="20" ht="16" customHeight="1" s="108">
      <c r="A20" s="2" t="n"/>
      <c r="B20" s="118" t="inlineStr">
        <is>
          <t xml:space="preserve">  FCF / Dividend Cover  ≥ 1.5x</t>
        </is>
      </c>
      <c r="C20" s="26">
        <f>"—"</f>
        <v/>
      </c>
      <c r="D20" s="26">
        <f>IF('Company Analyzer'!C66&gt;=1.5,"PASS","FAIL")</f>
        <v/>
      </c>
      <c r="E20" s="26">
        <f>"—"</f>
        <v/>
      </c>
      <c r="F20" s="2" t="n"/>
    </row>
    <row r="21" ht="16" customHeight="1" s="108">
      <c r="A21" s="2" t="n"/>
      <c r="B21" s="4" t="inlineStr">
        <is>
          <t xml:space="preserve">  EPS / DPS Cover  ≥ 1.5x</t>
        </is>
      </c>
      <c r="C21" s="122">
        <f>"—"</f>
        <v/>
      </c>
      <c r="D21" s="122">
        <f>IF('Company Analyzer'!C67&gt;=1.5,"PASS","FAIL")</f>
        <v/>
      </c>
      <c r="E21" s="122">
        <f>"—"</f>
        <v/>
      </c>
      <c r="F21" s="2" t="n"/>
    </row>
    <row r="22" ht="16" customHeight="1" s="108">
      <c r="A22" s="2" t="n"/>
      <c r="B22" s="118" t="inlineStr">
        <is>
          <t xml:space="preserve">  Dividend CAGR  ≥ 10%  (4-year)</t>
        </is>
      </c>
      <c r="C22" s="26">
        <f>"—"</f>
        <v/>
      </c>
      <c r="D22" s="26">
        <f>IF('Company Analyzer'!C68&gt;=0.1,"PASS","FAIL")</f>
        <v/>
      </c>
      <c r="E22" s="26">
        <f>"—"</f>
        <v/>
      </c>
      <c r="F22" s="2" t="n"/>
    </row>
    <row r="23" ht="16" customHeight="1" s="108">
      <c r="A23" s="2" t="n"/>
      <c r="B23" s="4" t="inlineStr">
        <is>
          <t xml:space="preserve">  Consecutive Dividend Years  ≥ 5</t>
        </is>
      </c>
      <c r="C23" s="122">
        <f>"—"</f>
        <v/>
      </c>
      <c r="D23" s="122">
        <f>IF('Company Analyzer'!C69&gt;=5,"PASS","FAIL")</f>
        <v/>
      </c>
      <c r="E23" s="122">
        <f>"—"</f>
        <v/>
      </c>
      <c r="F23" s="2" t="n"/>
    </row>
    <row r="24" ht="16" customHeight="1" s="108">
      <c r="A24" s="2" t="n"/>
      <c r="B24" s="118" t="inlineStr">
        <is>
          <t xml:space="preserve">  No Missed Dividends  (past 5 yrs)</t>
        </is>
      </c>
      <c r="C24" s="26">
        <f>"—"</f>
        <v/>
      </c>
      <c r="D24" s="26">
        <f>IF('Company Analyzer'!C48=1,"PASS","FAIL")</f>
        <v/>
      </c>
      <c r="E24" s="26">
        <f>"—"</f>
        <v/>
      </c>
      <c r="F24" s="2" t="n"/>
    </row>
    <row r="25" ht="16" customHeight="1" s="108">
      <c r="A25" s="2" t="n"/>
      <c r="B25" s="4" t="inlineStr">
        <is>
          <t xml:space="preserve">  P / E Ratio  ≤ 6x (bank) / ≤ 10x (industrial)</t>
        </is>
      </c>
      <c r="C25" s="122">
        <f>"—"</f>
        <v/>
      </c>
      <c r="D25" s="122">
        <f>"—"</f>
        <v/>
      </c>
      <c r="E25" s="122">
        <f>IF(OR('Company Analyzer'!C10="Banking",'Company Analyzer'!C10="Insurance"),IF('Company Analyzer'!C62&lt;=6,"PASS","FAIL"),IF('Company Analyzer'!C62&lt;=10,"PASS","FAIL"))</f>
        <v/>
      </c>
      <c r="F25" s="2" t="n"/>
    </row>
    <row r="26" ht="16" customHeight="1" s="108">
      <c r="A26" s="2" t="n"/>
      <c r="B26" s="118" t="inlineStr">
        <is>
          <t xml:space="preserve">  P / B Ratio  ≤ 1.0x  (target ≤ 0.8x)</t>
        </is>
      </c>
      <c r="C26" s="26">
        <f>"—"</f>
        <v/>
      </c>
      <c r="D26" s="26">
        <f>"—"</f>
        <v/>
      </c>
      <c r="E26" s="26">
        <f>IF('Company Analyzer'!C63&lt;=0.8,"PASS",IF('Company Analyzer'!C63&lt;=1,"PARTIAL","FAIL"))</f>
        <v/>
      </c>
      <c r="F26" s="2" t="n"/>
    </row>
    <row r="27" ht="16" customHeight="1" s="108">
      <c r="A27" s="2" t="n"/>
      <c r="B27" s="4" t="inlineStr">
        <is>
          <t xml:space="preserve">  Net Debt / EBITDA  ≤ 2.0x / ≤ 2.5x</t>
        </is>
      </c>
      <c r="C27" s="122">
        <f>"—"</f>
        <v/>
      </c>
      <c r="D27" s="122">
        <f>IF('Company Analyzer'!C59&lt;=2,"PASS","FAIL")</f>
        <v/>
      </c>
      <c r="E27" s="122">
        <f>IF('Company Analyzer'!C59&lt;=2.5,"PASS","FAIL")</f>
        <v/>
      </c>
      <c r="F27" s="2" t="n"/>
    </row>
    <row r="28" ht="16" customHeight="1" s="108">
      <c r="A28" s="2" t="n"/>
      <c r="B28" s="118" t="inlineStr">
        <is>
          <t xml:space="preserve">  Interest Coverage  ≥ 4x (D) / ≥ 3x (V)</t>
        </is>
      </c>
      <c r="C28" s="26">
        <f>"—"</f>
        <v/>
      </c>
      <c r="D28" s="26">
        <f>IF(OR('Company Analyzer'!C10="Banking",'Company Analyzer'!C10="Insurance"),"N/A (Bank)",IF('Company Analyzer'!C60&gt;=4,"PASS","FAIL"))</f>
        <v/>
      </c>
      <c r="E28" s="26">
        <f>IF(OR('Company Analyzer'!C10="Banking",'Company Analyzer'!C10="Insurance"),"N/A (Bank)",IF('Company Analyzer'!C60&gt;=3,"PASS","FAIL"))</f>
        <v/>
      </c>
      <c r="F28" s="2" t="n"/>
    </row>
    <row r="29" ht="16" customHeight="1" s="108">
      <c r="A29" s="2" t="n"/>
      <c r="B29" s="4" t="inlineStr">
        <is>
          <t xml:space="preserve">  Current Ratio  ≥ 1.2x  (non-bank)</t>
        </is>
      </c>
      <c r="C29" s="122">
        <f>"—"</f>
        <v/>
      </c>
      <c r="D29" s="122">
        <f>"—"</f>
        <v/>
      </c>
      <c r="E29" s="122">
        <f>IF(OR('Company Analyzer'!C10="Banking",'Company Analyzer'!C10="Insurance"),"N/A (Bank)",IF('Company Analyzer'!C61&gt;=1.2,"PASS","FAIL"))</f>
        <v/>
      </c>
      <c r="F29" s="2" t="n"/>
    </row>
    <row r="30" ht="16" customHeight="1" s="108">
      <c r="A30" s="2" t="n"/>
      <c r="B30" s="118" t="inlineStr">
        <is>
          <t xml:space="preserve">  Capital Adequacy  ≥ 15%  (banks only)</t>
        </is>
      </c>
      <c r="C30" s="26">
        <f>"—"</f>
        <v/>
      </c>
      <c r="D30" s="26">
        <f>"—"</f>
        <v/>
      </c>
      <c r="E30" s="26">
        <f>IF(OR('Company Analyzer'!C10="Banking",'Company Analyzer'!C10="Insurance"),IF('Company Analyzer'!C71&gt;=15,"PASS","FAIL"),"N/A (Non-Bank)")</f>
        <v/>
      </c>
      <c r="F30" s="2" t="n"/>
    </row>
    <row r="31" ht="16" customHeight="1" s="108">
      <c r="A31" s="2" t="n"/>
      <c r="B31" s="4" t="inlineStr">
        <is>
          <t xml:space="preserve">  Stage 3 / NPL  ≤ 5%  (banks only)</t>
        </is>
      </c>
      <c r="C31" s="122">
        <f>"—"</f>
        <v/>
      </c>
      <c r="D31" s="122">
        <f>"—"</f>
        <v/>
      </c>
      <c r="E31" s="122">
        <f>IF(OR('Company Analyzer'!C10="Banking",'Company Analyzer'!C10="Insurance"),IF('Company Analyzer'!C72&lt;=5,"PASS","FAIL"),"N/A (Non-Bank)")</f>
        <v/>
      </c>
      <c r="F31" s="2" t="n"/>
    </row>
    <row r="32" ht="16" customHeight="1" s="108">
      <c r="A32" s="2" t="n"/>
      <c r="B32" s="118" t="inlineStr">
        <is>
          <t xml:space="preserve">  Daily Liquidity  ≥ ₦50M  (all strategies)</t>
        </is>
      </c>
      <c r="C32" s="26">
        <f>IF('Company Analyzer'!C70&gt;=50,"PASS","FAIL")</f>
        <v/>
      </c>
      <c r="D32" s="26">
        <f>IF('Company Analyzer'!C70&gt;=50,"PASS","FAIL")</f>
        <v/>
      </c>
      <c r="E32" s="26">
        <f>IF('Company Analyzer'!C70&gt;=50,"PASS","FAIL")</f>
        <v/>
      </c>
      <c r="F32" s="2" t="n"/>
    </row>
    <row r="33" ht="16" customHeight="1" s="108">
      <c r="A33" s="2" t="n"/>
      <c r="B33" s="4" t="inlineStr">
        <is>
          <t xml:space="preserve">  Big 4 Auditor</t>
        </is>
      </c>
      <c r="C33" s="122">
        <f>IF('Company Analyzer'!C47=1,"PASS","FAIL")</f>
        <v/>
      </c>
      <c r="D33" s="122">
        <f>IF('Company Analyzer'!C47=1,"PASS","FAIL")</f>
        <v/>
      </c>
      <c r="E33" s="122">
        <f>IF('Company Analyzer'!C47=1,"PASS","FAIL")</f>
        <v/>
      </c>
      <c r="F33" s="2" t="n"/>
    </row>
    <row r="34">
      <c r="A34" s="2" t="n"/>
      <c r="B34" s="2" t="n"/>
      <c r="C34" s="2" t="n"/>
      <c r="D34" s="2" t="n"/>
      <c r="E34" s="2" t="n"/>
      <c r="F34" s="2" t="n"/>
    </row>
    <row r="35" ht="16" customHeight="1" s="108">
      <c r="A35" s="2" t="n"/>
      <c r="B35" s="105" t="inlineStr">
        <is>
          <t>SCORES</t>
        </is>
      </c>
      <c r="C35" s="106" t="n"/>
      <c r="D35" s="106" t="n"/>
      <c r="E35" s="106" t="n"/>
      <c r="F35" s="2" t="n"/>
    </row>
    <row r="36" ht="14" customHeight="1" s="108">
      <c r="A36" s="2" t="n"/>
      <c r="B36" s="10" t="inlineStr">
        <is>
          <t>Metric</t>
        </is>
      </c>
      <c r="C36" s="10" t="inlineStr">
        <is>
          <t>Growth</t>
        </is>
      </c>
      <c r="D36" s="10" t="inlineStr">
        <is>
          <t>Dividend</t>
        </is>
      </c>
      <c r="E36" s="10" t="inlineStr">
        <is>
          <t>Value</t>
        </is>
      </c>
      <c r="F36" s="2" t="n"/>
    </row>
    <row r="37" ht="22" customHeight="1" s="108">
      <c r="A37" s="2" t="n"/>
      <c r="B37" s="4" t="inlineStr">
        <is>
          <t xml:space="preserve">  Criteria Passed</t>
        </is>
      </c>
      <c r="C37" s="27">
        <f>COUNTIF(C13:C33,"PASS")+COUNTIF(C13:C33,"PARTIAL")*0.5</f>
        <v/>
      </c>
      <c r="D37" s="27">
        <f>COUNTIF(D13:D33,"PASS")+COUNTIF(D13:D33,"PARTIAL")*0.5</f>
        <v/>
      </c>
      <c r="E37" s="27">
        <f>COUNTIF(E13:E33,"PASS")+COUNTIF(E13:E33,"PARTIAL")*0.5</f>
        <v/>
      </c>
      <c r="F37" s="2" t="n"/>
    </row>
    <row r="38" ht="16" customHeight="1" s="108">
      <c r="A38" s="2" t="n"/>
      <c r="B38" s="118" t="inlineStr">
        <is>
          <t xml:space="preserve">  Relevant Criteria (excl. —)</t>
        </is>
      </c>
      <c r="C38" s="23">
        <f>COUNTIF(C13:C33,"&lt;&gt;—")</f>
        <v/>
      </c>
      <c r="D38" s="23">
        <f>COUNTIF(D13:D33,"&lt;&gt;—")</f>
        <v/>
      </c>
      <c r="E38" s="23">
        <f>COUNTIF(E13:E33,"&lt;&gt;—")</f>
        <v/>
      </c>
      <c r="F38" s="2" t="n"/>
    </row>
    <row r="39" ht="20" customHeight="1" s="108">
      <c r="A39" s="2" t="n"/>
      <c r="B39" s="4" t="inlineStr">
        <is>
          <t xml:space="preserve">  Score  %</t>
        </is>
      </c>
      <c r="C39" s="28">
        <f>IFERROR(C37/C38,0)</f>
        <v/>
      </c>
      <c r="D39" s="28">
        <f>IFERROR(D37/D38,0)</f>
        <v/>
      </c>
      <c r="E39" s="28">
        <f>IFERROR(E37/E38,0)</f>
        <v/>
      </c>
      <c r="F39" s="2" t="n"/>
    </row>
    <row r="40" ht="18" customHeight="1" s="108">
      <c r="A40" s="2" t="n"/>
      <c r="B40" s="118" t="inlineStr">
        <is>
          <t xml:space="preserve">  Verdict</t>
        </is>
      </c>
      <c r="C40" s="29">
        <f>IF(C39&gt;=0.85,"STRONG PASS",IF(C39&gt;=0.7,"PASS",IF(C39&gt;=0.5,"BORDERLINE","FAIL")))</f>
        <v/>
      </c>
      <c r="D40" s="29">
        <f>IF(D39&gt;=0.85,"STRONG PASS",IF(D39&gt;=0.7,"PASS",IF(D39&gt;=0.5,"BORDERLINE","FAIL")))</f>
        <v/>
      </c>
      <c r="E40" s="29">
        <f>IF(E39&gt;=0.85,"STRONG PASS",IF(E39&gt;=0.7,"PASS",IF(E39&gt;=0.5,"BORDERLINE","FAIL")))</f>
        <v/>
      </c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</sheetData>
  <mergeCells count="8">
    <mergeCell ref="B35:E35"/>
    <mergeCell ref="B4:E4"/>
    <mergeCell ref="B6:E6"/>
    <mergeCell ref="B11:E11"/>
    <mergeCell ref="B3:E3"/>
    <mergeCell ref="B2:E2"/>
    <mergeCell ref="B7:E9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6B7280"/>
    <outlinePr summaryBelow="1" summaryRight="1"/>
    <pageSetUpPr/>
  </sheetPr>
  <dimension ref="A1:G130"/>
  <sheetViews>
    <sheetView showGridLines="0" zoomScale="140" zoomScaleNormal="140" workbookViewId="0">
      <pane ySplit="4" topLeftCell="A28" activePane="bottomLeft" state="frozen"/>
      <selection pane="bottomLeft" activeCell="A1" sqref="A1"/>
    </sheetView>
  </sheetViews>
  <sheetFormatPr baseColWidth="10" defaultColWidth="8.83203125" defaultRowHeight="15"/>
  <cols>
    <col width="1.5" customWidth="1" style="108" min="1" max="1"/>
    <col width="26" customWidth="1" style="108" min="2" max="2"/>
    <col width="16" customWidth="1" style="108" min="3" max="5"/>
    <col width="30" customWidth="1" style="108" min="6" max="6"/>
    <col width="1.5" customWidth="1" style="108" min="7" max="7"/>
  </cols>
  <sheetData>
    <row r="1" ht="5" customHeight="1" s="108">
      <c r="A1" s="2" t="n"/>
      <c r="B1" s="2" t="n"/>
      <c r="C1" s="2" t="n"/>
      <c r="D1" s="2" t="n"/>
      <c r="E1" s="2" t="n"/>
      <c r="F1" s="2" t="n"/>
      <c r="G1" s="2" t="n"/>
    </row>
    <row r="2" ht="26" customHeight="1" s="108">
      <c r="A2" s="2" t="n"/>
      <c r="B2" s="109" t="inlineStr">
        <is>
          <t>CRITERIA REFERENCE  —  Full Threshold Definitions</t>
        </is>
      </c>
      <c r="C2" s="106" t="n"/>
      <c r="D2" s="106" t="n"/>
      <c r="E2" s="106" t="n"/>
      <c r="F2" s="106" t="n"/>
      <c r="G2" s="2" t="n"/>
    </row>
    <row r="3" ht="14" customHeight="1" s="108">
      <c r="A3" s="2" t="n"/>
      <c r="B3" s="107" t="inlineStr">
        <is>
          <t>All screening thresholds used by the Classification engine, with context and rationale.</t>
        </is>
      </c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 ht="14" customHeight="1" s="108">
      <c r="A5" s="2" t="n"/>
      <c r="B5" s="10" t="inlineStr">
        <is>
          <t>Strategy</t>
        </is>
      </c>
      <c r="C5" s="10" t="inlineStr">
        <is>
          <t>Growth Threshold</t>
        </is>
      </c>
      <c r="D5" s="10" t="inlineStr">
        <is>
          <t>Dividend Threshold</t>
        </is>
      </c>
      <c r="E5" s="10" t="inlineStr">
        <is>
          <t>Value Threshold</t>
        </is>
      </c>
      <c r="F5" s="10" t="inlineStr">
        <is>
          <t>Context &amp; Rationale</t>
        </is>
      </c>
      <c r="G5" s="2" t="n"/>
    </row>
    <row r="6" ht="16" customHeight="1" s="108">
      <c r="A6" s="2" t="n"/>
      <c r="B6" s="105" t="inlineStr">
        <is>
          <t>ALL</t>
        </is>
      </c>
      <c r="C6" s="106" t="n"/>
      <c r="D6" s="106" t="n"/>
      <c r="E6" s="106" t="n"/>
      <c r="F6" s="106" t="n"/>
      <c r="G6" s="2" t="n"/>
    </row>
    <row r="7" ht="24" customHeight="1" s="108">
      <c r="A7" s="2" t="n"/>
      <c r="B7" s="14" t="inlineStr">
        <is>
          <t xml:space="preserve">  Daily Liquidity  (₦M)</t>
        </is>
      </c>
      <c r="C7" s="5" t="inlineStr">
        <is>
          <t>≥ 50</t>
        </is>
      </c>
      <c r="D7" s="5" t="inlineStr">
        <is>
          <t>≥ 50</t>
        </is>
      </c>
      <c r="E7" s="5" t="inlineStr">
        <is>
          <t>≥ 50</t>
        </is>
      </c>
      <c r="F7" s="14" t="inlineStr">
        <is>
          <t xml:space="preserve">  Illiquid positions cannot be sized or exited. Only screen stocks with ≥ ₦50M average daily turnover.</t>
        </is>
      </c>
      <c r="G7" s="2" t="n"/>
    </row>
    <row r="8" ht="24" customHeight="1" s="108">
      <c r="A8" s="2" t="n"/>
      <c r="B8" s="13" t="inlineStr">
        <is>
          <t xml:space="preserve">  Big 4 Auditor</t>
        </is>
      </c>
      <c r="C8" s="9" t="inlineStr">
        <is>
          <t>Yes</t>
        </is>
      </c>
      <c r="D8" s="9" t="inlineStr">
        <is>
          <t>Yes</t>
        </is>
      </c>
      <c r="E8" s="9" t="inlineStr">
        <is>
          <t>Yes</t>
        </is>
      </c>
      <c r="F8" s="13" t="inlineStr">
        <is>
          <t xml:space="preserve">  Prefer KPMG, PwC, Deloitte, or EY Nigeria. Unexplained auditor changes warrant deep investigation.</t>
        </is>
      </c>
      <c r="G8" s="2" t="n"/>
    </row>
    <row r="9" ht="16" customHeight="1" s="108">
      <c r="A9" s="2" t="n"/>
      <c r="B9" s="105" t="inlineStr">
        <is>
          <t>GROWTH</t>
        </is>
      </c>
      <c r="C9" s="106" t="n"/>
      <c r="D9" s="106" t="n"/>
      <c r="E9" s="106" t="n"/>
      <c r="F9" s="106" t="n"/>
      <c r="G9" s="2" t="n"/>
    </row>
    <row r="10" ht="24" customHeight="1" s="108">
      <c r="A10" s="2" t="n"/>
      <c r="B10" s="14" t="inlineStr">
        <is>
          <t xml:space="preserve">  Revenue Growth YoY</t>
        </is>
      </c>
      <c r="C10" s="5" t="inlineStr">
        <is>
          <t>≥ 25%</t>
        </is>
      </c>
      <c r="D10" s="5" t="inlineStr">
        <is>
          <t>—</t>
        </is>
      </c>
      <c r="E10" s="5" t="inlineStr">
        <is>
          <t>—</t>
        </is>
      </c>
      <c r="F10" s="14" t="inlineStr">
        <is>
          <t xml:space="preserve">  Floor to outpace ~30% inflation. Require 3+ consecutive years. Strip FX revaluation — organic growth only.</t>
        </is>
      </c>
      <c r="G10" s="2" t="n"/>
    </row>
    <row r="11" ht="24" customHeight="1" s="108">
      <c r="A11" s="2" t="n"/>
      <c r="B11" s="13" t="inlineStr">
        <is>
          <t xml:space="preserve">  EPS Growth YoY</t>
        </is>
      </c>
      <c r="C11" s="9" t="inlineStr">
        <is>
          <t>≥ 20%</t>
        </is>
      </c>
      <c r="D11" s="9" t="inlineStr">
        <is>
          <t>—</t>
        </is>
      </c>
      <c r="E11" s="9" t="inlineStr">
        <is>
          <t>—</t>
        </is>
      </c>
      <c r="F11" s="13" t="inlineStr">
        <is>
          <t xml:space="preserve">  Revenue growing without EPS growth = margin erosion. Check 3yr EPS CAGR to smooth one-off gains.</t>
        </is>
      </c>
      <c r="G11" s="2" t="n"/>
    </row>
    <row r="12" ht="16" customHeight="1" s="108">
      <c r="A12" s="2" t="n"/>
      <c r="B12" s="105" t="inlineStr">
        <is>
          <t>ALL</t>
        </is>
      </c>
      <c r="C12" s="106" t="n"/>
      <c r="D12" s="106" t="n"/>
      <c r="E12" s="106" t="n"/>
      <c r="F12" s="106" t="n"/>
      <c r="G12" s="2" t="n"/>
    </row>
    <row r="13" ht="24" customHeight="1" s="108">
      <c r="A13" s="2" t="n"/>
      <c r="B13" s="14" t="inlineStr">
        <is>
          <t xml:space="preserve">  Return on Equity</t>
        </is>
      </c>
      <c r="C13" s="5" t="inlineStr">
        <is>
          <t>≥ 20%</t>
        </is>
      </c>
      <c r="D13" s="5" t="inlineStr">
        <is>
          <t>≥ 15%</t>
        </is>
      </c>
      <c r="E13" s="5" t="inlineStr">
        <is>
          <t>≥ 12%</t>
        </is>
      </c>
      <c r="F13" s="14" t="inlineStr">
        <is>
          <t xml:space="preserve">  Critical quality gate for all strategies. Must be sustained. Banks: target ≥25%. Single spike is insufficient.</t>
        </is>
      </c>
      <c r="G13" s="2" t="n"/>
    </row>
    <row r="14" ht="16" customHeight="1" s="108">
      <c r="A14" s="2" t="n"/>
      <c r="B14" s="105" t="inlineStr">
        <is>
          <t>GROWTH</t>
        </is>
      </c>
      <c r="C14" s="106" t="n"/>
      <c r="D14" s="106" t="n"/>
      <c r="E14" s="106" t="n"/>
      <c r="F14" s="106" t="n"/>
      <c r="G14" s="2" t="n"/>
    </row>
    <row r="15" ht="24" customHeight="1" s="108">
      <c r="A15" s="2" t="n"/>
      <c r="B15" s="13" t="inlineStr">
        <is>
          <t xml:space="preserve">  Net Profit Margin</t>
        </is>
      </c>
      <c r="C15" s="9" t="inlineStr">
        <is>
          <t>≥ 15 / 20%</t>
        </is>
      </c>
      <c r="D15" s="9" t="inlineStr">
        <is>
          <t>—</t>
        </is>
      </c>
      <c r="E15" s="9" t="inlineStr">
        <is>
          <t>—</t>
        </is>
      </c>
      <c r="F15" s="13" t="inlineStr">
        <is>
          <t xml:space="preserve">  Rising margins on rising revenue = exponential profit compounding. 20% threshold for banks, 15% for others.</t>
        </is>
      </c>
      <c r="G15" s="2" t="n"/>
    </row>
    <row r="16" ht="24" customHeight="1" s="108">
      <c r="A16" s="2" t="n"/>
      <c r="B16" s="14" t="inlineStr">
        <is>
          <t xml:space="preserve">  Debt / Equity  (non-bank)</t>
        </is>
      </c>
      <c r="C16" s="5" t="inlineStr">
        <is>
          <t>≤ 1.5x</t>
        </is>
      </c>
      <c r="D16" s="5" t="inlineStr">
        <is>
          <t>≤ 2.0x</t>
        </is>
      </c>
      <c r="E16" s="5" t="inlineStr">
        <is>
          <t>≤ 2.5x</t>
        </is>
      </c>
      <c r="F16" s="14" t="inlineStr">
        <is>
          <t xml:space="preserve">  Nigeria's 20%+ interest rates make leverage expensive. For banks, screen via Capital Adequacy Ratio instead.</t>
        </is>
      </c>
      <c r="G16" s="2" t="n"/>
    </row>
    <row r="17" ht="16" customHeight="1" s="108">
      <c r="A17" s="2" t="n"/>
      <c r="B17" s="105" t="inlineStr">
        <is>
          <t>DIVIDEND</t>
        </is>
      </c>
      <c r="C17" s="106" t="n"/>
      <c r="D17" s="106" t="n"/>
      <c r="E17" s="106" t="n"/>
      <c r="F17" s="106" t="n"/>
      <c r="G17" s="2" t="n"/>
    </row>
    <row r="18" ht="24" customHeight="1" s="108">
      <c r="A18" s="2" t="n"/>
      <c r="B18" s="13" t="inlineStr">
        <is>
          <t xml:space="preserve">  Dividend Yield</t>
        </is>
      </c>
      <c r="C18" s="9" t="inlineStr">
        <is>
          <t>—</t>
        </is>
      </c>
      <c r="D18" s="9" t="inlineStr">
        <is>
          <t>≥ 8 / 12%</t>
        </is>
      </c>
      <c r="E18" s="9" t="inlineStr">
        <is>
          <t>—</t>
        </is>
      </c>
      <c r="F18" s="13" t="inlineStr">
        <is>
          <t xml:space="preserve">  T-bills yield ~18–20% risk-free. Target ≥12% for pure income. 8% acceptable only with capital gain upside.</t>
        </is>
      </c>
      <c r="G18" s="2" t="n"/>
    </row>
    <row r="19" ht="24" customHeight="1" s="108">
      <c r="A19" s="2" t="n"/>
      <c r="B19" s="14" t="inlineStr">
        <is>
          <t xml:space="preserve">  Payout Ratio</t>
        </is>
      </c>
      <c r="C19" s="5" t="inlineStr">
        <is>
          <t>—</t>
        </is>
      </c>
      <c r="D19" s="5" t="inlineStr">
        <is>
          <t>20 – 60%</t>
        </is>
      </c>
      <c r="E19" s="5" t="inlineStr">
        <is>
          <t>—</t>
        </is>
      </c>
      <c r="F19" s="14" t="inlineStr">
        <is>
          <t xml:space="preserve">  Below 20%: hoarding cash. Above 60%: payout may be unsustainable. Sweet spot: 30–55%.</t>
        </is>
      </c>
      <c r="G19" s="2" t="n"/>
    </row>
    <row r="20" ht="24" customHeight="1" s="108">
      <c r="A20" s="2" t="n"/>
      <c r="B20" s="13" t="inlineStr">
        <is>
          <t xml:space="preserve">  FCF / Dividend Cover</t>
        </is>
      </c>
      <c r="C20" s="9" t="inlineStr">
        <is>
          <t>—</t>
        </is>
      </c>
      <c r="D20" s="9" t="inlineStr">
        <is>
          <t>≥ 1.5x</t>
        </is>
      </c>
      <c r="E20" s="9" t="inlineStr">
        <is>
          <t>—</t>
        </is>
      </c>
      <c r="F20" s="13" t="inlineStr">
        <is>
          <t xml:space="preserve">  Dividends must be backed by real operating cash, not debt. Below 1.0x = funded from borrowings.</t>
        </is>
      </c>
      <c r="G20" s="2" t="n"/>
    </row>
    <row r="21" ht="24" customHeight="1" s="108">
      <c r="A21" s="2" t="n"/>
      <c r="B21" s="14" t="inlineStr">
        <is>
          <t xml:space="preserve">  EPS / DPS Cover</t>
        </is>
      </c>
      <c r="C21" s="5" t="inlineStr">
        <is>
          <t>—</t>
        </is>
      </c>
      <c r="D21" s="5" t="inlineStr">
        <is>
          <t>≥ 1.5x</t>
        </is>
      </c>
      <c r="E21" s="5" t="inlineStr">
        <is>
          <t>—</t>
        </is>
      </c>
      <c r="F21" s="14" t="inlineStr">
        <is>
          <t xml:space="preserve">  Dividend Cover = EPS ÷ DPS. Cover of 1.5x means earnings are 50% above the payout — a safety buffer.</t>
        </is>
      </c>
      <c r="G21" s="2" t="n"/>
    </row>
    <row r="22" ht="24" customHeight="1" s="108">
      <c r="A22" s="2" t="n"/>
      <c r="B22" s="13" t="inlineStr">
        <is>
          <t xml:space="preserve">  Dividend CAGR  (4-yr)</t>
        </is>
      </c>
      <c r="C22" s="9" t="inlineStr">
        <is>
          <t>—</t>
        </is>
      </c>
      <c r="D22" s="9" t="inlineStr">
        <is>
          <t>≥ 10%</t>
        </is>
      </c>
      <c r="E22" s="9" t="inlineStr">
        <is>
          <t>—</t>
        </is>
      </c>
      <c r="F22" s="13" t="inlineStr">
        <is>
          <t xml:space="preserve">  A stagnant dividend loses real value vs 30% inflation. GTCO's 5yr CAGR is 29% — the NGX benchmark.</t>
        </is>
      </c>
      <c r="G22" s="2" t="n"/>
    </row>
    <row r="23" ht="24" customHeight="1" s="108">
      <c r="A23" s="2" t="n"/>
      <c r="B23" s="14" t="inlineStr">
        <is>
          <t xml:space="preserve">  Consecutive Dividend Years</t>
        </is>
      </c>
      <c r="C23" s="5" t="inlineStr">
        <is>
          <t>—</t>
        </is>
      </c>
      <c r="D23" s="5" t="inlineStr">
        <is>
          <t>≥ 5 yrs</t>
        </is>
      </c>
      <c r="E23" s="5" t="inlineStr">
        <is>
          <t>—</t>
        </is>
      </c>
      <c r="F23" s="14" t="inlineStr">
        <is>
          <t xml:space="preserve">  Require 5 unbroken payment years. Many NGX companies cut dividends during FX crises (2016, 2023).</t>
        </is>
      </c>
      <c r="G23" s="2" t="n"/>
    </row>
    <row r="24" ht="16" customHeight="1" s="108">
      <c r="A24" s="2" t="n"/>
      <c r="B24" s="105" t="inlineStr">
        <is>
          <t>VALUE</t>
        </is>
      </c>
      <c r="C24" s="106" t="n"/>
      <c r="D24" s="106" t="n"/>
      <c r="E24" s="106" t="n"/>
      <c r="F24" s="106" t="n"/>
      <c r="G24" s="2" t="n"/>
    </row>
    <row r="25" ht="24" customHeight="1" s="108">
      <c r="A25" s="2" t="n"/>
      <c r="B25" s="13" t="inlineStr">
        <is>
          <t xml:space="preserve">  P / E Ratio</t>
        </is>
      </c>
      <c r="C25" s="9" t="inlineStr">
        <is>
          <t>—</t>
        </is>
      </c>
      <c r="D25" s="9" t="inlineStr">
        <is>
          <t>—</t>
        </is>
      </c>
      <c r="E25" s="9" t="inlineStr">
        <is>
          <t>≤ 6x / 10x</t>
        </is>
      </c>
      <c r="F25" s="13" t="inlineStr">
        <is>
          <t xml:space="preserve">  NGX banks trade at 2–8x. P/E ≤ 5x for a profitable, well-capitalised bank is a compelling entry. Avoid P/E &lt; 1x.</t>
        </is>
      </c>
      <c r="G25" s="2" t="n"/>
    </row>
    <row r="26" ht="24" customHeight="1" s="108">
      <c r="A26" s="2" t="n"/>
      <c r="B26" s="14" t="inlineStr">
        <is>
          <t xml:space="preserve">  P / B Ratio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≤ 1.0x</t>
        </is>
      </c>
      <c r="F26" s="14" t="inlineStr">
        <is>
          <t xml:space="preserve">  Trading below book = buying assets for less than stated value. REQUIRE ROE ≥ 12% simultaneously — else value trap.</t>
        </is>
      </c>
      <c r="G26" s="2" t="n"/>
    </row>
    <row r="27" ht="16" customHeight="1" s="108">
      <c r="A27" s="2" t="n"/>
      <c r="B27" s="105" t="inlineStr">
        <is>
          <t>ALL</t>
        </is>
      </c>
      <c r="C27" s="106" t="n"/>
      <c r="D27" s="106" t="n"/>
      <c r="E27" s="106" t="n"/>
      <c r="F27" s="106" t="n"/>
      <c r="G27" s="2" t="n"/>
    </row>
    <row r="28" ht="24" customHeight="1" s="108">
      <c r="A28" s="2" t="n"/>
      <c r="B28" s="13" t="inlineStr">
        <is>
          <t xml:space="preserve">  Net Debt / EBITDA</t>
        </is>
      </c>
      <c r="C28" s="9" t="inlineStr">
        <is>
          <t>—</t>
        </is>
      </c>
      <c r="D28" s="9" t="inlineStr">
        <is>
          <t>≤ 2.0x</t>
        </is>
      </c>
      <c r="E28" s="9" t="inlineStr">
        <is>
          <t>≤ 2.5x</t>
        </is>
      </c>
      <c r="F28" s="13" t="inlineStr">
        <is>
          <t xml:space="preserve">  With policy rate at ~27%, debt payments drain cash flow needed for dividends or re-rating. Net cash = ideal.</t>
        </is>
      </c>
      <c r="G28" s="2" t="n"/>
    </row>
    <row r="29" ht="24" customHeight="1" s="108">
      <c r="A29" s="2" t="n"/>
      <c r="B29" s="14" t="inlineStr">
        <is>
          <t xml:space="preserve">  Interest Coverage  (non-bank)</t>
        </is>
      </c>
      <c r="C29" s="5" t="inlineStr">
        <is>
          <t>—</t>
        </is>
      </c>
      <c r="D29" s="5" t="inlineStr">
        <is>
          <t>≥ 4x</t>
        </is>
      </c>
      <c r="E29" s="5" t="inlineStr">
        <is>
          <t>≥ 3x</t>
        </is>
      </c>
      <c r="F29" s="14" t="inlineStr">
        <is>
          <t xml:space="preserve">  At 20%+ rates, thin coverage means debt service consumes operating profit. Below 2x = high cut risk.</t>
        </is>
      </c>
      <c r="G29" s="2" t="n"/>
    </row>
    <row r="30" ht="16" customHeight="1" s="108">
      <c r="A30" s="2" t="n"/>
      <c r="B30" s="105" t="inlineStr">
        <is>
          <t>VALUE</t>
        </is>
      </c>
      <c r="C30" s="106" t="n"/>
      <c r="D30" s="106" t="n"/>
      <c r="E30" s="106" t="n"/>
      <c r="F30" s="106" t="n"/>
      <c r="G30" s="2" t="n"/>
    </row>
    <row r="31" ht="24" customHeight="1" s="108">
      <c r="A31" s="2" t="n"/>
      <c r="B31" s="13" t="inlineStr">
        <is>
          <t xml:space="preserve">  Current Ratio  (non-bank)</t>
        </is>
      </c>
      <c r="C31" s="9" t="inlineStr">
        <is>
          <t>—</t>
        </is>
      </c>
      <c r="D31" s="9" t="inlineStr">
        <is>
          <t>—</t>
        </is>
      </c>
      <c r="E31" s="9" t="inlineStr">
        <is>
          <t>≥ 1.2x</t>
        </is>
      </c>
      <c r="F31" s="13" t="inlineStr">
        <is>
          <t xml:space="preserve">  Ensures near-term liquidity. A cheap stock with current ratio &lt; 1.0x may be cheap due to a liquidity crisis.</t>
        </is>
      </c>
      <c r="G31" s="2" t="n"/>
    </row>
    <row r="32" ht="24" customHeight="1" s="108">
      <c r="A32" s="2" t="n"/>
      <c r="B32" s="14" t="inlineStr">
        <is>
          <t xml:space="preserve">  CAR  (banks only)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≥ 15%</t>
        </is>
      </c>
      <c r="F32" s="14" t="inlineStr">
        <is>
          <t xml:space="preserve">  Bank near regulatory minimum CAR may need dilutive capital raise. Require CAR well above 10–15% CBN floor.</t>
        </is>
      </c>
      <c r="G32" s="2" t="n"/>
    </row>
    <row r="33" ht="24" customHeight="1" s="108">
      <c r="A33" s="2" t="n"/>
      <c r="B33" s="13" t="inlineStr">
        <is>
          <t xml:space="preserve">  Stage 3 / NPL  (banks only)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≤ 5%</t>
        </is>
      </c>
      <c r="F33" s="13" t="inlineStr">
        <is>
          <t xml:space="preserve">  Rising NPLs are a bank value trap. Require Stage 3 loans stable or declining and ≥80% provision coverage.</t>
        </is>
      </c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 ht="16" customHeight="1" s="108">
      <c r="A35" s="2" t="n"/>
      <c r="B35" s="105" t="inlineStr">
        <is>
          <t>SECTOR BENCHMARKS  —  P/E ranges, dividend targets, and key metric by sector</t>
        </is>
      </c>
      <c r="C35" s="106" t="n"/>
      <c r="D35" s="106" t="n"/>
      <c r="E35" s="106" t="n"/>
      <c r="F35" s="106" t="n"/>
      <c r="G35" s="2" t="n"/>
    </row>
    <row r="36" ht="14" customHeight="1" s="108">
      <c r="A36" s="2" t="n"/>
      <c r="B36" s="10" t="inlineStr">
        <is>
          <t>Sector</t>
        </is>
      </c>
      <c r="C36" s="10" t="inlineStr">
        <is>
          <t>Growth P/E</t>
        </is>
      </c>
      <c r="D36" s="10" t="inlineStr">
        <is>
          <t>Value P/E</t>
        </is>
      </c>
      <c r="E36" s="10" t="inlineStr">
        <is>
          <t>Div. Yield Target</t>
        </is>
      </c>
      <c r="F36" s="10" t="inlineStr">
        <is>
          <t>Key Watch Metric</t>
        </is>
      </c>
      <c r="G36" s="2" t="n"/>
    </row>
    <row r="37" ht="18" customHeight="1" s="108">
      <c r="A37" s="2" t="n"/>
      <c r="B37" s="4" t="inlineStr">
        <is>
          <t xml:space="preserve">  Banking — Tier 1</t>
        </is>
      </c>
      <c r="C37" s="5" t="inlineStr">
        <is>
          <t>3 – 8x</t>
        </is>
      </c>
      <c r="D37" s="5" t="inlineStr">
        <is>
          <t>≤ 4x</t>
        </is>
      </c>
      <c r="E37" s="5" t="inlineStr">
        <is>
          <t>≥ 10%</t>
        </is>
      </c>
      <c r="F37" s="14" t="inlineStr">
        <is>
          <t xml:space="preserve">  ROE ≥ 25%  ·  Cost-to-Income &lt; 40%  ·  Fee income growing faster than interest income</t>
        </is>
      </c>
      <c r="G37" s="2" t="n"/>
    </row>
    <row r="38" ht="18" customHeight="1" s="108">
      <c r="A38" s="2" t="n"/>
      <c r="B38" s="118" t="inlineStr">
        <is>
          <t xml:space="preserve">  Banking — Tier 2</t>
        </is>
      </c>
      <c r="C38" s="9" t="inlineStr">
        <is>
          <t>2 – 5x</t>
        </is>
      </c>
      <c r="D38" s="9" t="inlineStr">
        <is>
          <t>≤ 3x</t>
        </is>
      </c>
      <c r="E38" s="9" t="inlineStr">
        <is>
          <t>≥ 7%</t>
        </is>
      </c>
      <c r="F38" s="13" t="inlineStr">
        <is>
          <t xml:space="preserve">  NPL trend  ·  CAR vs. minimum  ·  Liquidity coverage ratio</t>
        </is>
      </c>
      <c r="G38" s="2" t="n"/>
    </row>
    <row r="39" ht="18" customHeight="1" s="108">
      <c r="A39" s="2" t="n"/>
      <c r="B39" s="4" t="inlineStr">
        <is>
          <t xml:space="preserve">  Consumer Goods / FMCG</t>
        </is>
      </c>
      <c r="C39" s="5" t="inlineStr">
        <is>
          <t>8 – 18x</t>
        </is>
      </c>
      <c r="D39" s="5" t="inlineStr">
        <is>
          <t>≤ 8x</t>
        </is>
      </c>
      <c r="E39" s="5" t="inlineStr">
        <is>
          <t>≥ 5%</t>
        </is>
      </c>
      <c r="F39" s="14" t="inlineStr">
        <is>
          <t xml:space="preserve">  Gross margin trend  ·  Volume vs. price growth split  ·  FX import exposure</t>
        </is>
      </c>
      <c r="G39" s="2" t="n"/>
    </row>
    <row r="40" ht="18" customHeight="1" s="108">
      <c r="A40" s="2" t="n"/>
      <c r="B40" s="118" t="inlineStr">
        <is>
          <t xml:space="preserve">  Industrial / Cement</t>
        </is>
      </c>
      <c r="C40" s="9" t="inlineStr">
        <is>
          <t>6 – 14x</t>
        </is>
      </c>
      <c r="D40" s="9" t="inlineStr">
        <is>
          <t>≤ 7x</t>
        </is>
      </c>
      <c r="E40" s="9" t="inlineStr">
        <is>
          <t>≥ 4%</t>
        </is>
      </c>
      <c r="F40" s="13" t="inlineStr">
        <is>
          <t xml:space="preserve">  EBITDA margin  ·  Energy cost as % of revenue  ·  Capacity utilisation</t>
        </is>
      </c>
      <c r="G40" s="2" t="n"/>
    </row>
    <row r="41" ht="18" customHeight="1" s="108">
      <c r="A41" s="2" t="n"/>
      <c r="B41" s="4" t="inlineStr">
        <is>
          <t xml:space="preserve">  Oil &amp; Gas</t>
        </is>
      </c>
      <c r="C41" s="5" t="inlineStr">
        <is>
          <t>5 – 12x</t>
        </is>
      </c>
      <c r="D41" s="5" t="inlineStr">
        <is>
          <t>≤ 6x</t>
        </is>
      </c>
      <c r="E41" s="5" t="inlineStr">
        <is>
          <t>≥ 5%</t>
        </is>
      </c>
      <c r="F41" s="14" t="inlineStr">
        <is>
          <t xml:space="preserve">  Production growth  ·  2P reserves  ·  Lifting cost per barrel  ·  FX hedging</t>
        </is>
      </c>
      <c r="G41" s="2" t="n"/>
    </row>
    <row r="42" ht="18" customHeight="1" s="108">
      <c r="A42" s="2" t="n"/>
      <c r="B42" s="118" t="inlineStr">
        <is>
          <t xml:space="preserve">  Telecoms / ICT</t>
        </is>
      </c>
      <c r="C42" s="9" t="inlineStr">
        <is>
          <t>8 – 16x</t>
        </is>
      </c>
      <c r="D42" s="9" t="inlineStr">
        <is>
          <t>≤ 8x</t>
        </is>
      </c>
      <c r="E42" s="9" t="inlineStr">
        <is>
          <t>≥ 6%</t>
        </is>
      </c>
      <c r="F42" s="13" t="inlineStr">
        <is>
          <t xml:space="preserve">  ARPU growth  ·  Data revenue %  ·  Capex-to-revenue declining</t>
        </is>
      </c>
      <c r="G42" s="2" t="n"/>
    </row>
    <row r="43" ht="18" customHeight="1" s="108">
      <c r="A43" s="2" t="n"/>
      <c r="B43" s="4" t="inlineStr">
        <is>
          <t xml:space="preserve">  Healthcare / Pharma</t>
        </is>
      </c>
      <c r="C43" s="5" t="inlineStr">
        <is>
          <t>10 – 20x</t>
        </is>
      </c>
      <c r="D43" s="5" t="inlineStr">
        <is>
          <t>≤ 10x</t>
        </is>
      </c>
      <c r="E43" s="5" t="inlineStr">
        <is>
          <t>≥ 3%</t>
        </is>
      </c>
      <c r="F43" s="14" t="inlineStr">
        <is>
          <t xml:space="preserve">  Domestic production % rising  ·  Regulatory approvals pipeline</t>
        </is>
      </c>
      <c r="G43" s="2" t="n"/>
    </row>
    <row r="44" ht="18" customHeight="1" s="108">
      <c r="A44" s="2" t="n"/>
      <c r="B44" s="118" t="inlineStr">
        <is>
          <t xml:space="preserve">  Insurance</t>
        </is>
      </c>
      <c r="C44" s="9" t="inlineStr">
        <is>
          <t>5 – 12x</t>
        </is>
      </c>
      <c r="D44" s="9" t="inlineStr">
        <is>
          <t>≤ 5x</t>
        </is>
      </c>
      <c r="E44" s="9" t="inlineStr">
        <is>
          <t>≥ 7%</t>
        </is>
      </c>
      <c r="F44" s="13" t="inlineStr">
        <is>
          <t xml:space="preserve">  Combined ratio (&lt; 100% is ideal)  ·  Reserve adequacy  ·  Investment yield</t>
        </is>
      </c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107" t="inlineStr">
        <is>
          <t xml:space="preserve">  Not financial advice. Always verify current financials on ngxgroup.com. Consult a registered stockbroker before investing.</t>
        </is>
      </c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</sheetData>
  <mergeCells count="12">
    <mergeCell ref="B30:F30"/>
    <mergeCell ref="B12:F12"/>
    <mergeCell ref="B6:F6"/>
    <mergeCell ref="B24:F24"/>
    <mergeCell ref="B2:F2"/>
    <mergeCell ref="B3:F3"/>
    <mergeCell ref="B46:F46"/>
    <mergeCell ref="B14:F14"/>
    <mergeCell ref="B17:F17"/>
    <mergeCell ref="B9:F9"/>
    <mergeCell ref="B27:F27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A6B35"/>
    <outlinePr summaryBelow="1" summaryRight="1"/>
    <pageSetUpPr/>
  </sheetPr>
  <dimension ref="A1:I80"/>
  <sheetViews>
    <sheetView showGridLines="0" topLeftCell="A28" zoomScale="170" zoomScaleNormal="170" workbookViewId="0">
      <selection activeCell="A1" sqref="A1"/>
    </sheetView>
  </sheetViews>
  <sheetFormatPr baseColWidth="10" defaultColWidth="8.83203125" defaultRowHeight="15"/>
  <cols>
    <col width="1.5" customWidth="1" style="108" min="1" max="1"/>
    <col width="22" customWidth="1" style="108" min="2" max="2"/>
    <col width="14" customWidth="1" style="108" min="3" max="8"/>
    <col width="1.5" customWidth="1" style="108" min="9" max="9"/>
  </cols>
  <sheetData>
    <row r="1" ht="5" customHeight="1" s="108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 s="108">
      <c r="A2" s="2" t="n"/>
      <c r="B2" s="109" t="inlineStr">
        <is>
          <t>FIXED INCOME &amp; BOND MARKET DASHBOARD  —  Nigeria</t>
        </is>
      </c>
      <c r="C2" s="106" t="n"/>
      <c r="D2" s="106" t="n"/>
      <c r="E2" s="106" t="n"/>
      <c r="F2" s="106" t="n"/>
      <c r="G2" s="106" t="n"/>
      <c r="H2" s="106" t="n"/>
      <c r="I2" s="2" t="n"/>
    </row>
    <row r="3" ht="14" customHeight="1" s="108">
      <c r="A3" s="2" t="n"/>
      <c r="B3" s="124" t="inlineStr">
        <is>
          <t>FMDQ  ·  DMO  ·  CBN  ·  Auto-updated: 2026-05-06 16:58  ·  FMDQ prices: manual entry required (paid subscription)</t>
        </is>
      </c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6" customHeight="1" s="108">
      <c r="A5" s="2" t="n"/>
      <c r="B5" s="105" t="inlineStr">
        <is>
          <t>RATE ENVIRONMENT  —  Update from Data Guide instructions</t>
        </is>
      </c>
      <c r="C5" s="106" t="n"/>
      <c r="D5" s="106" t="n"/>
      <c r="E5" s="106" t="n"/>
      <c r="F5" s="106" t="n"/>
      <c r="G5" s="106" t="n"/>
      <c r="H5" s="106" t="n"/>
      <c r="I5" s="2" t="n"/>
    </row>
    <row r="6" ht="13" customHeight="1" s="108">
      <c r="A6" s="2" t="n"/>
      <c r="B6" s="10" t="inlineStr">
        <is>
          <t>Instrument</t>
        </is>
      </c>
      <c r="C6" s="10" t="inlineStr">
        <is>
          <t>Current Rate</t>
        </is>
      </c>
      <c r="D6" s="10" t="inlineStr">
        <is>
          <t>Prior Month</t>
        </is>
      </c>
      <c r="E6" s="10" t="inlineStr">
        <is>
          <t>Change  bps</t>
        </is>
      </c>
      <c r="F6" s="10" t="inlineStr">
        <is>
          <t>Source</t>
        </is>
      </c>
      <c r="G6" s="10" t="inlineStr">
        <is>
          <t>Last Updated</t>
        </is>
      </c>
      <c r="H6" s="10" t="inlineStr">
        <is>
          <t>Notes</t>
        </is>
      </c>
      <c r="I6" s="2" t="n"/>
    </row>
    <row r="7" ht="15" customHeight="1" s="108">
      <c r="A7" s="2" t="n"/>
      <c r="B7" s="4" t="inlineStr">
        <is>
          <t xml:space="preserve">  CBN Monetary Policy Rate</t>
        </is>
      </c>
      <c r="C7" s="30">
        <f>CBNRates!C7</f>
        <v/>
      </c>
      <c r="D7" s="30">
        <f>CBNRates!D7</f>
        <v/>
      </c>
      <c r="E7" s="31">
        <f>IFERROR((CBNRates!C7-CBNRates!D7)*10000,"—")</f>
        <v/>
      </c>
      <c r="F7" s="5" t="inlineStr">
        <is>
          <t>CBN MPC</t>
        </is>
      </c>
      <c r="G7" s="5" t="inlineStr">
        <is>
          <t>Manual</t>
        </is>
      </c>
      <c r="H7" s="112" t="inlineStr">
        <is>
          <t xml:space="preserve">  Benchmark rate — all yields priced relative to this</t>
        </is>
      </c>
      <c r="I7" s="2" t="n"/>
    </row>
    <row r="8" ht="15" customHeight="1" s="108">
      <c r="A8" s="2" t="n"/>
      <c r="B8" s="118" t="inlineStr">
        <is>
          <t xml:space="preserve">  NTB  91-Day  (T-Bill)</t>
        </is>
      </c>
      <c r="C8" s="32">
        <f>CBNRates!C8</f>
        <v/>
      </c>
      <c r="D8" s="32">
        <f>CBNRates!D8</f>
        <v/>
      </c>
      <c r="E8" s="23">
        <f>IFERROR((CBNRates!C8-CBNRates!D8)*10000,"—")</f>
        <v/>
      </c>
      <c r="F8" s="9" t="inlineStr">
        <is>
          <t>CBN / DMO</t>
        </is>
      </c>
      <c r="G8" s="9" t="inlineStr">
        <is>
          <t>Manual</t>
        </is>
      </c>
      <c r="H8" s="107" t="inlineStr">
        <is>
          <t xml:space="preserve">  Risk-free rate; equity hurdle rate benchmark</t>
        </is>
      </c>
      <c r="I8" s="2" t="n"/>
    </row>
    <row r="9" ht="15" customHeight="1" s="108">
      <c r="A9" s="2" t="n"/>
      <c r="B9" s="4" t="inlineStr">
        <is>
          <t xml:space="preserve">  NTB  182-Day</t>
        </is>
      </c>
      <c r="C9" s="30">
        <f>CBNRates!C9</f>
        <v/>
      </c>
      <c r="D9" s="30">
        <f>CBNRates!D9</f>
        <v/>
      </c>
      <c r="E9" s="31">
        <f>IFERROR((CBNRates!C9-CBNRates!D9)*10000,"—")</f>
        <v/>
      </c>
      <c r="F9" s="5" t="inlineStr">
        <is>
          <t>CBN / DMO</t>
        </is>
      </c>
      <c r="G9" s="5" t="inlineStr">
        <is>
          <t>Manual</t>
        </is>
      </c>
      <c r="H9" s="112" t="inlineStr">
        <is>
          <t xml:space="preserve">  </t>
        </is>
      </c>
      <c r="I9" s="2" t="n"/>
    </row>
    <row r="10" ht="15" customHeight="1" s="108">
      <c r="A10" s="2" t="n"/>
      <c r="B10" s="118" t="inlineStr">
        <is>
          <t xml:space="preserve">  NTB  364-Day</t>
        </is>
      </c>
      <c r="C10" s="32">
        <f>CBNRates!C10</f>
        <v/>
      </c>
      <c r="D10" s="32">
        <f>CBNRates!D10</f>
        <v/>
      </c>
      <c r="E10" s="23">
        <f>IFERROR((CBNRates!C10-CBNRates!D10)*10000,"—")</f>
        <v/>
      </c>
      <c r="F10" s="9" t="inlineStr">
        <is>
          <t>CBN / DMO</t>
        </is>
      </c>
      <c r="G10" s="9" t="inlineStr">
        <is>
          <t>Manual</t>
        </is>
      </c>
      <c r="H10" s="107" t="inlineStr">
        <is>
          <t xml:space="preserve">  </t>
        </is>
      </c>
      <c r="I10" s="2" t="n"/>
    </row>
    <row r="11" ht="15" customHeight="1" s="108">
      <c r="A11" s="2" t="n"/>
      <c r="B11" s="4" t="inlineStr">
        <is>
          <t xml:space="preserve">  FGN Bond  2-Year</t>
        </is>
      </c>
      <c r="C11" s="30">
        <f>CBNRates!C11</f>
        <v/>
      </c>
      <c r="D11" s="30">
        <f>CBNRates!D11</f>
        <v/>
      </c>
      <c r="E11" s="31">
        <f>IFERROR((CBNRates!C11-CBNRates!D11)*10000,"—")</f>
        <v/>
      </c>
      <c r="F11" s="5" t="inlineStr">
        <is>
          <t>FMDQ / DMO</t>
        </is>
      </c>
      <c r="G11" s="5" t="inlineStr">
        <is>
          <t>Manual</t>
        </is>
      </c>
      <c r="H11" s="112" t="inlineStr">
        <is>
          <t xml:space="preserve">  Short end of sovereign curve</t>
        </is>
      </c>
      <c r="I11" s="2" t="n"/>
    </row>
    <row r="12" ht="15" customHeight="1" s="108">
      <c r="A12" s="2" t="n"/>
      <c r="B12" s="118" t="inlineStr">
        <is>
          <t xml:space="preserve">  FGN Bond  5-Year</t>
        </is>
      </c>
      <c r="C12" s="32">
        <f>CBNRates!C12</f>
        <v/>
      </c>
      <c r="D12" s="32">
        <f>CBNRates!D12</f>
        <v/>
      </c>
      <c r="E12" s="23">
        <f>IFERROR((CBNRates!C12-CBNRates!D12)*10000,"—")</f>
        <v/>
      </c>
      <c r="F12" s="9" t="inlineStr">
        <is>
          <t>FMDQ / DMO</t>
        </is>
      </c>
      <c r="G12" s="9" t="inlineStr">
        <is>
          <t>Manual</t>
        </is>
      </c>
      <c r="H12" s="107" t="inlineStr">
        <is>
          <t xml:space="preserve">  </t>
        </is>
      </c>
      <c r="I12" s="2" t="n"/>
    </row>
    <row r="13" ht="15" customHeight="1" s="108">
      <c r="A13" s="2" t="n"/>
      <c r="B13" s="4" t="inlineStr">
        <is>
          <t xml:space="preserve">  FGN Bond  10-Year</t>
        </is>
      </c>
      <c r="C13" s="30">
        <f>CBNRates!C13</f>
        <v/>
      </c>
      <c r="D13" s="30">
        <f>CBNRates!D13</f>
        <v/>
      </c>
      <c r="E13" s="31">
        <f>IFERROR((CBNRates!C13-CBNRates!D13)*10000,"—")</f>
        <v/>
      </c>
      <c r="F13" s="5" t="inlineStr">
        <is>
          <t>FMDQ / DMO</t>
        </is>
      </c>
      <c r="G13" s="5" t="inlineStr">
        <is>
          <t>Manual</t>
        </is>
      </c>
      <c r="H13" s="112" t="inlineStr">
        <is>
          <t xml:space="preserve">  14.95% as at Apr 30 2026 (TradingEconomics)</t>
        </is>
      </c>
      <c r="I13" s="2" t="n"/>
    </row>
    <row r="14" ht="15" customHeight="1" s="108">
      <c r="A14" s="2" t="n"/>
      <c r="B14" s="118" t="inlineStr">
        <is>
          <t xml:space="preserve">  FGN Bond  15-Year</t>
        </is>
      </c>
      <c r="C14" s="32">
        <f>CBNRates!C14</f>
        <v/>
      </c>
      <c r="D14" s="32">
        <f>CBNRates!D14</f>
        <v/>
      </c>
      <c r="E14" s="23">
        <f>IFERROR((CBNRates!C14-CBNRates!D14)*10000,"—")</f>
        <v/>
      </c>
      <c r="F14" s="9" t="inlineStr">
        <is>
          <t>FMDQ / DMO</t>
        </is>
      </c>
      <c r="G14" s="9" t="inlineStr">
        <is>
          <t>Manual</t>
        </is>
      </c>
      <c r="H14" s="107" t="inlineStr">
        <is>
          <t xml:space="preserve">  </t>
        </is>
      </c>
      <c r="I14" s="2" t="n"/>
    </row>
    <row r="15" ht="15" customHeight="1" s="108">
      <c r="A15" s="2" t="n"/>
      <c r="B15" s="4" t="inlineStr">
        <is>
          <t xml:space="preserve">  FGN Bond  20-Year</t>
        </is>
      </c>
      <c r="C15" s="30">
        <f>CBNRates!C15</f>
        <v/>
      </c>
      <c r="D15" s="30">
        <f>CBNRates!D15</f>
        <v/>
      </c>
      <c r="E15" s="31">
        <f>IFERROR((CBNRates!C15-CBNRates!D15)*10000,"—")</f>
        <v/>
      </c>
      <c r="F15" s="5" t="inlineStr">
        <is>
          <t>FMDQ / DMO</t>
        </is>
      </c>
      <c r="G15" s="5" t="inlineStr">
        <is>
          <t>Manual</t>
        </is>
      </c>
      <c r="H15" s="112" t="inlineStr">
        <is>
          <t xml:space="preserve">  </t>
        </is>
      </c>
      <c r="I15" s="2" t="n"/>
    </row>
    <row r="16" ht="15" customHeight="1" s="108">
      <c r="A16" s="2" t="n"/>
      <c r="B16" s="118" t="inlineStr">
        <is>
          <t xml:space="preserve">  FGN Bond  30-Year</t>
        </is>
      </c>
      <c r="C16" s="32">
        <f>CBNRates!C16</f>
        <v/>
      </c>
      <c r="D16" s="32">
        <f>CBNRates!D16</f>
        <v/>
      </c>
      <c r="E16" s="23">
        <f>IFERROR((CBNRates!C16-CBNRates!D16)*10000,"—")</f>
        <v/>
      </c>
      <c r="F16" s="9" t="inlineStr">
        <is>
          <t>FMDQ / DMO</t>
        </is>
      </c>
      <c r="G16" s="9" t="inlineStr">
        <is>
          <t>Manual</t>
        </is>
      </c>
      <c r="H16" s="107" t="inlineStr">
        <is>
          <t xml:space="preserve">  </t>
        </is>
      </c>
      <c r="I16" s="2" t="n"/>
    </row>
    <row r="17" ht="15" customHeight="1" s="108">
      <c r="A17" s="2" t="n"/>
      <c r="B17" s="4" t="inlineStr">
        <is>
          <t xml:space="preserve">  Corp Bond Avg Coupon (IG)</t>
        </is>
      </c>
      <c r="C17" s="30">
        <f>CBNRates!C17</f>
        <v/>
      </c>
      <c r="D17" s="30">
        <f>CBNRates!D17</f>
        <v/>
      </c>
      <c r="E17" s="31">
        <f>IFERROR((CBNRates!C17-CBNRates!D17)*10000,"—")</f>
        <v/>
      </c>
      <c r="F17" s="5" t="inlineStr">
        <is>
          <t>FMDQ</t>
        </is>
      </c>
      <c r="G17" s="5" t="inlineStr">
        <is>
          <t>Manual</t>
        </is>
      </c>
      <c r="H17" s="112" t="inlineStr">
        <is>
          <t xml:space="preserve">  Investment grade — avg coupon rate</t>
        </is>
      </c>
      <c r="I17" s="2" t="n"/>
    </row>
    <row r="18" ht="15" customHeight="1" s="108">
      <c r="A18" s="2" t="n"/>
      <c r="B18" s="118" t="inlineStr">
        <is>
          <t xml:space="preserve">  CP  Avg Discount Rate</t>
        </is>
      </c>
      <c r="C18" s="32">
        <f>CBNRates!C18</f>
        <v/>
      </c>
      <c r="D18" s="32">
        <f>CBNRates!D18</f>
        <v/>
      </c>
      <c r="E18" s="23">
        <f>IFERROR((CBNRates!C18-CBNRates!D18)*10000,"—")</f>
        <v/>
      </c>
      <c r="F18" s="9" t="inlineStr">
        <is>
          <t>FMDQ</t>
        </is>
      </c>
      <c r="G18" s="9" t="inlineStr">
        <is>
          <t>Manual</t>
        </is>
      </c>
      <c r="H18" s="107" t="inlineStr">
        <is>
          <t xml:space="preserve">  ~22.38% avg in 2025; trending down in 2026</t>
        </is>
      </c>
      <c r="I18" s="2" t="n"/>
    </row>
    <row r="19" ht="15" customHeight="1" s="108">
      <c r="A19" s="2" t="n"/>
      <c r="B19" s="4" t="inlineStr">
        <is>
          <t xml:space="preserve">  Inflation  (CPI)</t>
        </is>
      </c>
      <c r="C19" s="30">
        <f>CBNRates!C19</f>
        <v/>
      </c>
      <c r="D19" s="30">
        <f>CBNRates!D19</f>
        <v/>
      </c>
      <c r="E19" s="31">
        <f>IFERROR((CBNRates!C19-CBNRates!D19)*10000,"—")</f>
        <v/>
      </c>
      <c r="F19" s="5" t="inlineStr">
        <is>
          <t>NBS</t>
        </is>
      </c>
      <c r="G19" s="5" t="inlineStr">
        <is>
          <t>Manual</t>
        </is>
      </c>
      <c r="H19" s="112" t="inlineStr">
        <is>
          <t xml:space="preserve">  Sets the real return bar for all instruments</t>
        </is>
      </c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 ht="16" customHeight="1" s="108">
      <c r="A21" s="2" t="n"/>
      <c r="B21" s="105" t="inlineStr">
        <is>
          <t>SOVEREIGN YIELD CURVE SNAPSHOT  (auto-populates from Yield Curve sheet)</t>
        </is>
      </c>
      <c r="C21" s="106" t="n"/>
      <c r="D21" s="106" t="n"/>
      <c r="E21" s="106" t="n"/>
      <c r="F21" s="106" t="n"/>
      <c r="G21" s="106" t="n"/>
      <c r="H21" s="106" t="n"/>
      <c r="I21" s="2" t="n"/>
    </row>
    <row r="22" ht="13" customHeight="1" s="108">
      <c r="A22" s="2" t="n"/>
      <c r="B22" s="10" t="inlineStr">
        <is>
          <t>Tenor</t>
        </is>
      </c>
      <c r="C22" s="10" t="inlineStr">
        <is>
          <t>Yield %</t>
        </is>
      </c>
      <c r="D22" s="10" t="inlineStr">
        <is>
          <t>vs 91d T-bill</t>
        </is>
      </c>
      <c r="E22" s="10" t="inlineStr">
        <is>
          <t>vs Inflation</t>
        </is>
      </c>
      <c r="F22" s="10" t="inlineStr">
        <is>
          <t>Real Yield</t>
        </is>
      </c>
      <c r="G22" s="10" t="inlineStr">
        <is>
          <t>Category</t>
        </is>
      </c>
      <c r="H22" s="10" t="inlineStr">
        <is>
          <t>Signal</t>
        </is>
      </c>
      <c r="I22" s="2" t="n"/>
    </row>
    <row r="23" ht="15" customHeight="1" s="108">
      <c r="A23" s="2" t="n"/>
      <c r="B23" s="4" t="inlineStr">
        <is>
          <t xml:space="preserve">  91 Days (T-Bill)</t>
        </is>
      </c>
      <c r="C23" s="30">
        <f>'Yield Curve'!C7</f>
        <v/>
      </c>
      <c r="D23" s="31">
        <f>IFERROR((C23-CBNRates!C8)*10000,"—")</f>
        <v/>
      </c>
      <c r="E23" s="31">
        <f>IFERROR((C23-CBNRates!C19)*10000,"—")</f>
        <v/>
      </c>
      <c r="F23" s="30">
        <f>IFERROR(C23-CBNRates!C19,"—")</f>
        <v/>
      </c>
      <c r="G23" s="5" t="inlineStr">
        <is>
          <t>Short</t>
        </is>
      </c>
      <c r="H23" s="122">
        <f>IF(C23="","—",IF(C23&gt;CBNRates!C19,"Real +ve","Real -ve"))</f>
        <v/>
      </c>
      <c r="I23" s="2" t="n"/>
    </row>
    <row r="24" ht="15" customHeight="1" s="108">
      <c r="A24" s="2" t="n"/>
      <c r="B24" s="118" t="inlineStr">
        <is>
          <t xml:space="preserve">  182 Days</t>
        </is>
      </c>
      <c r="C24" s="32">
        <f>'Yield Curve'!C8</f>
        <v/>
      </c>
      <c r="D24" s="23">
        <f>IFERROR((C24-CBNRates!C8)*10000,"—")</f>
        <v/>
      </c>
      <c r="E24" s="23">
        <f>IFERROR((C24-CBNRates!C19)*10000,"—")</f>
        <v/>
      </c>
      <c r="F24" s="32">
        <f>IFERROR(C24-CBNRates!C19,"—")</f>
        <v/>
      </c>
      <c r="G24" s="9" t="inlineStr">
        <is>
          <t>Short</t>
        </is>
      </c>
      <c r="H24" s="26">
        <f>IF(C24="","—",IF(C24&gt;CBNRates!C19,"Real +ve","Real -ve"))</f>
        <v/>
      </c>
      <c r="I24" s="2" t="n"/>
    </row>
    <row r="25" ht="15" customHeight="1" s="108">
      <c r="A25" s="2" t="n"/>
      <c r="B25" s="4" t="inlineStr">
        <is>
          <t xml:space="preserve">  364 Days</t>
        </is>
      </c>
      <c r="C25" s="30">
        <f>'Yield Curve'!C9</f>
        <v/>
      </c>
      <c r="D25" s="31">
        <f>IFERROR((C25-CBNRates!C8)*10000,"—")</f>
        <v/>
      </c>
      <c r="E25" s="31">
        <f>IFERROR((C25-CBNRates!C19)*10000,"—")</f>
        <v/>
      </c>
      <c r="F25" s="30">
        <f>IFERROR(C25-CBNRates!C19,"—")</f>
        <v/>
      </c>
      <c r="G25" s="5" t="inlineStr">
        <is>
          <t>Short</t>
        </is>
      </c>
      <c r="H25" s="122">
        <f>IF(C25="","—",IF(C25&gt;CBNRates!C19,"Real +ve","Real -ve"))</f>
        <v/>
      </c>
      <c r="I25" s="2" t="n"/>
    </row>
    <row r="26" ht="15" customHeight="1" s="108">
      <c r="A26" s="2" t="n"/>
      <c r="B26" s="118" t="inlineStr">
        <is>
          <t xml:space="preserve">  2 Year</t>
        </is>
      </c>
      <c r="C26" s="32">
        <f>'Yield Curve'!C10</f>
        <v/>
      </c>
      <c r="D26" s="23">
        <f>IFERROR((C26-CBNRates!C8)*10000,"—")</f>
        <v/>
      </c>
      <c r="E26" s="23">
        <f>IFERROR((C26-CBNRates!C19)*10000,"—")</f>
        <v/>
      </c>
      <c r="F26" s="32">
        <f>IFERROR(C26-CBNRates!C19,"—")</f>
        <v/>
      </c>
      <c r="G26" s="9" t="inlineStr">
        <is>
          <t>Medium</t>
        </is>
      </c>
      <c r="H26" s="26">
        <f>IF(C26="","—",IF(C26&gt;CBNRates!C19,"Real +ve","Real -ve"))</f>
        <v/>
      </c>
      <c r="I26" s="2" t="n"/>
    </row>
    <row r="27" ht="15" customHeight="1" s="108">
      <c r="A27" s="2" t="n"/>
      <c r="B27" s="4" t="inlineStr">
        <is>
          <t xml:space="preserve">  3 Year</t>
        </is>
      </c>
      <c r="C27" s="30">
        <f>'Yield Curve'!C11</f>
        <v/>
      </c>
      <c r="D27" s="31">
        <f>IFERROR((C27-CBNRates!C8)*10000,"—")</f>
        <v/>
      </c>
      <c r="E27" s="31">
        <f>IFERROR((C27-CBNRates!C19)*10000,"—")</f>
        <v/>
      </c>
      <c r="F27" s="30">
        <f>IFERROR(C27-CBNRates!C19,"—")</f>
        <v/>
      </c>
      <c r="G27" s="5" t="inlineStr">
        <is>
          <t>Medium</t>
        </is>
      </c>
      <c r="H27" s="122">
        <f>IF(C27="","—",IF(C27&gt;CBNRates!C19,"Real +ve","Real -ve"))</f>
        <v/>
      </c>
      <c r="I27" s="2" t="n"/>
    </row>
    <row r="28" ht="15" customHeight="1" s="108">
      <c r="A28" s="2" t="n"/>
      <c r="B28" s="118" t="inlineStr">
        <is>
          <t xml:space="preserve">  5 Year</t>
        </is>
      </c>
      <c r="C28" s="32">
        <f>'Yield Curve'!C12</f>
        <v/>
      </c>
      <c r="D28" s="23">
        <f>IFERROR((C28-CBNRates!C8)*10000,"—")</f>
        <v/>
      </c>
      <c r="E28" s="23">
        <f>IFERROR((C28-CBNRates!C19)*10000,"—")</f>
        <v/>
      </c>
      <c r="F28" s="32">
        <f>IFERROR(C28-CBNRates!C19,"—")</f>
        <v/>
      </c>
      <c r="G28" s="9" t="inlineStr">
        <is>
          <t>Medium</t>
        </is>
      </c>
      <c r="H28" s="26">
        <f>IF(C28="","—",IF(C28&gt;CBNRates!C19,"Real +ve","Real -ve"))</f>
        <v/>
      </c>
      <c r="I28" s="2" t="n"/>
    </row>
    <row r="29" ht="15" customHeight="1" s="108">
      <c r="A29" s="2" t="n"/>
      <c r="B29" s="4" t="inlineStr">
        <is>
          <t xml:space="preserve">  7 Year</t>
        </is>
      </c>
      <c r="C29" s="30">
        <f>'Yield Curve'!C13</f>
        <v/>
      </c>
      <c r="D29" s="31">
        <f>IFERROR((C29-CBNRates!C8)*10000,"—")</f>
        <v/>
      </c>
      <c r="E29" s="31">
        <f>IFERROR((C29-CBNRates!C19)*10000,"—")</f>
        <v/>
      </c>
      <c r="F29" s="30">
        <f>IFERROR(C29-CBNRates!C19,"—")</f>
        <v/>
      </c>
      <c r="G29" s="5" t="inlineStr">
        <is>
          <t>Medium</t>
        </is>
      </c>
      <c r="H29" s="122">
        <f>IF(C29="","—",IF(C29&gt;CBNRates!C19,"Real +ve","Real -ve"))</f>
        <v/>
      </c>
      <c r="I29" s="2" t="n"/>
    </row>
    <row r="30" ht="15" customHeight="1" s="108">
      <c r="A30" s="2" t="n"/>
      <c r="B30" s="118" t="inlineStr">
        <is>
          <t xml:space="preserve">  10 Year</t>
        </is>
      </c>
      <c r="C30" s="32">
        <f>'Yield Curve'!C14</f>
        <v/>
      </c>
      <c r="D30" s="23">
        <f>IFERROR((C30-CBNRates!C8)*10000,"—")</f>
        <v/>
      </c>
      <c r="E30" s="23">
        <f>IFERROR((C30-CBNRates!C19)*10000,"—")</f>
        <v/>
      </c>
      <c r="F30" s="32">
        <f>IFERROR(C30-CBNRates!C19,"—")</f>
        <v/>
      </c>
      <c r="G30" s="9" t="inlineStr">
        <is>
          <t>Long</t>
        </is>
      </c>
      <c r="H30" s="26">
        <f>IF(C30="","—",IF(C30&gt;CBNRates!C19,"Real +ve","Real -ve"))</f>
        <v/>
      </c>
      <c r="I30" s="2" t="n"/>
    </row>
    <row r="31" ht="15" customHeight="1" s="108">
      <c r="A31" s="2" t="n"/>
      <c r="B31" s="4" t="inlineStr">
        <is>
          <t xml:space="preserve">  15 Year</t>
        </is>
      </c>
      <c r="C31" s="30">
        <f>'Yield Curve'!C15</f>
        <v/>
      </c>
      <c r="D31" s="31">
        <f>IFERROR((C31-CBNRates!C8)*10000,"—")</f>
        <v/>
      </c>
      <c r="E31" s="31">
        <f>IFERROR((C31-CBNRates!C19)*10000,"—")</f>
        <v/>
      </c>
      <c r="F31" s="30">
        <f>IFERROR(C31-CBNRates!C19,"—")</f>
        <v/>
      </c>
      <c r="G31" s="5" t="inlineStr">
        <is>
          <t>Long</t>
        </is>
      </c>
      <c r="H31" s="122">
        <f>IF(C31="","—",IF(C31&gt;CBNRates!C19,"Real +ve","Real -ve"))</f>
        <v/>
      </c>
      <c r="I31" s="2" t="n"/>
    </row>
    <row r="32" ht="15" customHeight="1" s="108">
      <c r="A32" s="2" t="n"/>
      <c r="B32" s="118" t="inlineStr">
        <is>
          <t xml:space="preserve">  20 Year</t>
        </is>
      </c>
      <c r="C32" s="32">
        <f>'Yield Curve'!C16</f>
        <v/>
      </c>
      <c r="D32" s="23">
        <f>IFERROR((C32-CBNRates!C8)*10000,"—")</f>
        <v/>
      </c>
      <c r="E32" s="23">
        <f>IFERROR((C32-CBNRates!C19)*10000,"—")</f>
        <v/>
      </c>
      <c r="F32" s="32">
        <f>IFERROR(C32-CBNRates!C19,"—")</f>
        <v/>
      </c>
      <c r="G32" s="9" t="inlineStr">
        <is>
          <t>Long</t>
        </is>
      </c>
      <c r="H32" s="26">
        <f>IF(C32="","—",IF(C32&gt;CBNRates!C19,"Real +ve","Real -ve"))</f>
        <v/>
      </c>
      <c r="I32" s="2" t="n"/>
    </row>
    <row r="33" ht="15" customHeight="1" s="108">
      <c r="A33" s="2" t="n"/>
      <c r="B33" s="4" t="inlineStr">
        <is>
          <t xml:space="preserve">  30 Year</t>
        </is>
      </c>
      <c r="C33" s="30">
        <f>'Yield Curve'!C17</f>
        <v/>
      </c>
      <c r="D33" s="31">
        <f>IFERROR((C33-CBNRates!C8)*10000,"—")</f>
        <v/>
      </c>
      <c r="E33" s="31">
        <f>IFERROR((C33-CBNRates!C19)*10000,"—")</f>
        <v/>
      </c>
      <c r="F33" s="30">
        <f>IFERROR(C33-CBNRates!C19,"—")</f>
        <v/>
      </c>
      <c r="G33" s="5" t="inlineStr">
        <is>
          <t>Long</t>
        </is>
      </c>
      <c r="H33" s="122">
        <f>IF(C33="","—",IF(C33&gt;CBNRates!C19,"Real +ve","Real -ve"))</f>
        <v/>
      </c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16" customHeight="1" s="108">
      <c r="A35" s="2" t="n"/>
      <c r="B35" s="105" t="inlineStr">
        <is>
          <t>MARKET SUMMARY  —  Key counts from tracker sheets</t>
        </is>
      </c>
      <c r="C35" s="106" t="n"/>
      <c r="D35" s="106" t="n"/>
      <c r="E35" s="106" t="n"/>
      <c r="F35" s="106" t="n"/>
      <c r="G35" s="106" t="n"/>
      <c r="H35" s="106" t="n"/>
      <c r="I35" s="2" t="n"/>
    </row>
    <row r="36" ht="13" customHeight="1" s="108">
      <c r="A36" s="2" t="n"/>
      <c r="B36" s="10" t="inlineStr">
        <is>
          <t>Instrument Class</t>
        </is>
      </c>
      <c r="C36" s="10" t="inlineStr">
        <is>
          <t>Issues Tracked</t>
        </is>
      </c>
      <c r="D36" s="10" t="inlineStr">
        <is>
          <t>Avg Yield / Rate</t>
        </is>
      </c>
      <c r="E36" s="10" t="inlineStr">
        <is>
          <t>Total Value  ₦B</t>
        </is>
      </c>
      <c r="F36" s="10" t="inlineStr">
        <is>
          <t>Nearest Maturity</t>
        </is>
      </c>
      <c r="G36" s="10" t="inlineStr">
        <is>
          <t>Source</t>
        </is>
      </c>
      <c r="H36" s="11" t="n"/>
      <c r="I36" s="2" t="n"/>
    </row>
    <row r="37" ht="15" customHeight="1" s="108">
      <c r="A37" s="2" t="n"/>
      <c r="B37" s="4" t="inlineStr">
        <is>
          <t xml:space="preserve">  FGN Bonds (Active)</t>
        </is>
      </c>
      <c r="C37" s="122">
        <f>'FGN Bonds'!B4</f>
        <v/>
      </c>
      <c r="D37" s="122">
        <f>'FGN Bonds'!C4</f>
        <v/>
      </c>
      <c r="E37" s="122">
        <f>'FGN Bonds'!D4</f>
        <v/>
      </c>
      <c r="F37" s="122">
        <f>'FGN Bonds'!E4</f>
        <v/>
      </c>
      <c r="G37" s="5" t="inlineStr">
        <is>
          <t>DMO</t>
        </is>
      </c>
      <c r="H37" s="2" t="n"/>
      <c r="I37" s="2" t="n"/>
    </row>
    <row r="38" ht="15" customHeight="1" s="108">
      <c r="A38" s="2" t="n"/>
      <c r="B38" s="118" t="inlineStr">
        <is>
          <t xml:space="preserve">  NTBs  (91/182/364d)</t>
        </is>
      </c>
      <c r="C38" s="26">
        <f>'Yield Curve'!H4</f>
        <v/>
      </c>
      <c r="D38" s="32">
        <f>'Yield Curve'!H5</f>
        <v/>
      </c>
      <c r="E38" s="62">
        <f>'Yield Curve'!H6</f>
        <v/>
      </c>
      <c r="F38" s="49">
        <f>'Yield Curve'!H7</f>
        <v/>
      </c>
      <c r="G38" s="9" t="inlineStr">
        <is>
          <t>DMO Auctions</t>
        </is>
      </c>
      <c r="H38" s="2" t="n"/>
      <c r="I38" s="2" t="n"/>
    </row>
    <row r="39" ht="15" customHeight="1" s="108">
      <c r="A39" s="2" t="n"/>
      <c r="B39" s="4" t="inlineStr">
        <is>
          <t xml:space="preserve">  Corporate Bonds</t>
        </is>
      </c>
      <c r="C39" s="122">
        <f>'Corporate Bonds'!B4</f>
        <v/>
      </c>
      <c r="D39" s="122">
        <f>'Corporate Bonds'!C4</f>
        <v/>
      </c>
      <c r="E39" s="122">
        <f>'Corporate Bonds'!D4</f>
        <v/>
      </c>
      <c r="F39" s="122">
        <f>'Corporate Bonds'!E4</f>
        <v/>
      </c>
      <c r="G39" s="5" t="inlineStr">
        <is>
          <t>FMDQ / NGX</t>
        </is>
      </c>
      <c r="H39" s="2" t="n"/>
      <c r="I39" s="2" t="n"/>
    </row>
    <row r="40" ht="15" customHeight="1" s="108">
      <c r="A40" s="2" t="n"/>
      <c r="B40" s="118" t="inlineStr">
        <is>
          <t xml:space="preserve">  Commercial Papers</t>
        </is>
      </c>
      <c r="C40" s="26">
        <f>'Commercial Papers'!B4</f>
        <v/>
      </c>
      <c r="D40" s="26">
        <f>'Commercial Papers'!C4</f>
        <v/>
      </c>
      <c r="E40" s="26">
        <f>'Commercial Papers'!D4</f>
        <v/>
      </c>
      <c r="F40" s="26">
        <f>'Commercial Papers'!E4</f>
        <v/>
      </c>
      <c r="G40" s="9" t="inlineStr">
        <is>
          <t>FMDQ</t>
        </is>
      </c>
      <c r="H40" s="2" t="n"/>
      <c r="I40" s="2" t="n"/>
    </row>
    <row r="41" ht="15" customHeight="1" s="108">
      <c r="A41" s="2" t="n"/>
      <c r="B41" s="4" t="inlineStr">
        <is>
          <t xml:space="preserve">  Eurobonds  (USD-denominated)</t>
        </is>
      </c>
      <c r="C41" s="122">
        <f>Eurobonds!B4</f>
        <v/>
      </c>
      <c r="D41" s="30">
        <f>Eurobonds!C4</f>
        <v/>
      </c>
      <c r="E41" s="63">
        <f>Eurobonds!D4</f>
        <v/>
      </c>
      <c r="F41" s="48">
        <f>Eurobonds!E4</f>
        <v/>
      </c>
      <c r="G41" s="5" t="inlineStr">
        <is>
          <t>Eurobonds sheet</t>
        </is>
      </c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127" t="inlineStr">
        <is>
          <t xml:space="preserve">  Auto-refreshed: 18 May 2026  18:17  ·  NTBs: CBN API (latest: 03/11/2026)  ·  10Y FGN: 14.958%  ·  Eurobonds: DMO Excel (to 2026-05-15)  ·  NGX prices: manual (X-DataPortal required)</t>
        </is>
      </c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</sheetData>
  <mergeCells count="6">
    <mergeCell ref="B35:H35"/>
    <mergeCell ref="B21:H21"/>
    <mergeCell ref="B44:H44"/>
    <mergeCell ref="B2:H2"/>
    <mergeCell ref="B3:H3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6B7280"/>
    <outlinePr summaryBelow="1" summaryRight="1"/>
    <pageSetUpPr/>
  </sheetPr>
  <dimension ref="A1:G42"/>
  <sheetViews>
    <sheetView showGridLines="0" zoomScale="90" workbookViewId="0">
      <selection activeCell="A1" sqref="A1"/>
    </sheetView>
  </sheetViews>
  <sheetFormatPr baseColWidth="10" defaultColWidth="8.83203125" defaultRowHeight="15"/>
  <cols>
    <col width="1.5" customWidth="1" style="108" min="1" max="1"/>
    <col width="28" customWidth="1" style="108" min="2" max="2"/>
    <col width="16" customWidth="1" style="108" min="3" max="4"/>
    <col width="20" customWidth="1" style="108" min="5" max="5"/>
    <col width="28" customWidth="1" style="108" min="6" max="6"/>
    <col width="1.5" customWidth="1" style="108" min="7" max="7"/>
  </cols>
  <sheetData>
    <row r="1">
      <c r="A1" s="2" t="n"/>
      <c r="B1" s="2" t="n"/>
      <c r="C1" s="2" t="n"/>
      <c r="D1" s="2" t="n"/>
      <c r="E1" s="2" t="n"/>
      <c r="F1" s="2" t="n"/>
      <c r="G1" s="2" t="n"/>
    </row>
    <row r="2" ht="22" customHeight="1" s="108">
      <c r="A2" s="2" t="n"/>
      <c r="B2" s="109" t="inlineStr">
        <is>
          <t>RATE INPUTS  —  Update this sheet. All FI Dashboard and tracker sheets pull from here.</t>
        </is>
      </c>
      <c r="C2" s="106" t="n"/>
      <c r="D2" s="106" t="n"/>
      <c r="E2" s="106" t="n"/>
      <c r="F2" s="106" t="n"/>
      <c r="G2" s="2" t="n"/>
    </row>
    <row r="3" ht="14" customHeight="1" s="108">
      <c r="A3" s="2" t="n"/>
      <c r="B3" s="107" t="inlineStr">
        <is>
          <t>Blue cells = your inputs. Source instructions in the Data Guide sheet.</t>
        </is>
      </c>
      <c r="G3" s="2" t="n"/>
    </row>
    <row r="4" ht="8" customHeight="1" s="108">
      <c r="A4" s="2" t="n"/>
      <c r="B4" s="2" t="n"/>
      <c r="C4" s="2" t="n"/>
      <c r="D4" s="2" t="n"/>
      <c r="E4" s="2" t="n"/>
      <c r="F4" s="2" t="n"/>
      <c r="G4" s="2" t="n"/>
    </row>
    <row r="5" ht="16" customHeight="1" s="108">
      <c r="A5" s="2" t="n"/>
      <c r="B5" s="105" t="inlineStr">
        <is>
          <t>CURRENT &amp; PRIOR MONTH RATES  (enter as decimals: 18% = 0.18)</t>
        </is>
      </c>
      <c r="C5" s="106" t="n"/>
      <c r="D5" s="106" t="n"/>
      <c r="E5" s="106" t="n"/>
      <c r="F5" s="106" t="n"/>
      <c r="G5" s="2" t="n"/>
    </row>
    <row r="6" ht="13" customHeight="1" s="108">
      <c r="A6" s="2" t="n"/>
      <c r="B6" s="10" t="inlineStr">
        <is>
          <t>Instrument</t>
        </is>
      </c>
      <c r="C6" s="10" t="inlineStr">
        <is>
          <t>Current</t>
        </is>
      </c>
      <c r="D6" s="10" t="inlineStr">
        <is>
          <t>Prior Month</t>
        </is>
      </c>
      <c r="E6" s="10" t="inlineStr">
        <is>
          <t>Source URL / Where to find</t>
        </is>
      </c>
      <c r="F6" s="10" t="inlineStr">
        <is>
          <t>Notes</t>
        </is>
      </c>
      <c r="G6" s="2" t="n"/>
    </row>
    <row r="7" ht="15" customHeight="1" s="108">
      <c r="A7" s="2" t="n"/>
      <c r="B7" s="4" t="inlineStr">
        <is>
          <t xml:space="preserve">  CBN MPR</t>
        </is>
      </c>
      <c r="C7" s="128" t="n">
        <v>0.265</v>
      </c>
      <c r="D7" s="129" t="n">
        <v>0.265</v>
      </c>
      <c r="E7" s="112" t="inlineStr">
        <is>
          <t xml:space="preserve">  CBN MPC press release  cbn.gov.ng/monetary</t>
        </is>
      </c>
      <c r="F7" s="112" t="inlineStr">
        <is>
          <t xml:space="preserve">  Monetary Policy Rate — benchmark</t>
        </is>
      </c>
      <c r="G7" s="2" t="n"/>
    </row>
    <row r="8" ht="15" customHeight="1" s="108">
      <c r="A8" s="2" t="n"/>
      <c r="B8" s="118" t="inlineStr">
        <is>
          <t xml:space="preserve">  NTB  91-Day</t>
        </is>
      </c>
      <c r="C8" s="128" t="n">
        <v>0.1595</v>
      </c>
      <c r="D8" s="130" t="n">
        <v>0.1595</v>
      </c>
      <c r="E8" s="107" t="inlineStr">
        <is>
          <t xml:space="preserve">  cbn.gov.ng/rates/GovtSecurities.html</t>
        </is>
      </c>
      <c r="F8" s="107" t="inlineStr">
        <is>
          <t xml:space="preserve">  Primary market stop rate</t>
        </is>
      </c>
      <c r="G8" s="2" t="n"/>
    </row>
    <row r="9" ht="15" customHeight="1" s="108">
      <c r="A9" s="2" t="n"/>
      <c r="B9" s="4" t="inlineStr">
        <is>
          <t xml:space="preserve">  NTB  182-Day</t>
        </is>
      </c>
      <c r="C9" s="128" t="n">
        <v>0.1665</v>
      </c>
      <c r="D9" s="129" t="n">
        <v>0.1665</v>
      </c>
      <c r="E9" s="112" t="inlineStr">
        <is>
          <t xml:space="preserve">  cbn.gov.ng/rates/GovtSecurities.html</t>
        </is>
      </c>
      <c r="F9" s="112" t="inlineStr">
        <is>
          <t xml:space="preserve">  </t>
        </is>
      </c>
      <c r="G9" s="2" t="n"/>
    </row>
    <row r="10" ht="15" customHeight="1" s="108">
      <c r="A10" s="2" t="n"/>
      <c r="B10" s="118" t="inlineStr">
        <is>
          <t xml:space="preserve">  NTB  364-Day</t>
        </is>
      </c>
      <c r="C10" s="128" t="n">
        <v>0.1672</v>
      </c>
      <c r="D10" s="130" t="n">
        <v>0.1672</v>
      </c>
      <c r="E10" s="107" t="inlineStr">
        <is>
          <t xml:space="preserve">  cbn.gov.ng/rates/GovtSecurities.html</t>
        </is>
      </c>
      <c r="F10" s="107" t="inlineStr">
        <is>
          <t xml:space="preserve">  </t>
        </is>
      </c>
      <c r="G10" s="2" t="n"/>
    </row>
    <row r="11" ht="15" customHeight="1" s="108">
      <c r="A11" s="2" t="n"/>
      <c r="B11" s="4" t="inlineStr">
        <is>
          <t xml:space="preserve">  FGN Bond  2-Year</t>
        </is>
      </c>
      <c r="C11" s="33" t="n">
        <v>0.165</v>
      </c>
      <c r="D11" s="33" t="n">
        <v>0.172</v>
      </c>
      <c r="E11" s="112" t="inlineStr">
        <is>
          <t xml:space="preserve">  DMO weekly bond highlights  dmo.gov.ng</t>
        </is>
      </c>
      <c r="F11" s="112" t="inlineStr">
        <is>
          <t xml:space="preserve">  </t>
        </is>
      </c>
      <c r="G11" s="2" t="n"/>
    </row>
    <row r="12" ht="15" customHeight="1" s="108">
      <c r="A12" s="2" t="n"/>
      <c r="B12" s="118" t="inlineStr">
        <is>
          <t xml:space="preserve">  FGN Bond  5-Year</t>
        </is>
      </c>
      <c r="C12" s="128" t="n">
        <v>0.08</v>
      </c>
      <c r="D12" s="130" t="n">
        <v>0.08</v>
      </c>
      <c r="E12" s="107" t="inlineStr">
        <is>
          <t xml:space="preserve">  DMO weekly bond highlights  dmo.gov.ng</t>
        </is>
      </c>
      <c r="F12" s="107" t="inlineStr">
        <is>
          <t xml:space="preserve">  </t>
        </is>
      </c>
      <c r="G12" s="2" t="n"/>
    </row>
    <row r="13" ht="15" customHeight="1" s="108">
      <c r="A13" s="2" t="n"/>
      <c r="B13" s="4" t="inlineStr">
        <is>
          <t xml:space="preserve">  FGN Bond  10-Year</t>
        </is>
      </c>
      <c r="C13" s="128" t="n">
        <v>0.14958</v>
      </c>
      <c r="D13" s="129" t="n">
        <v>0.14957</v>
      </c>
      <c r="E13" s="112" t="inlineStr">
        <is>
          <t xml:space="preserve">  tradingeconomics.com or DMO FMDQ closing prices</t>
        </is>
      </c>
      <c r="F13" s="112" t="inlineStr">
        <is>
          <t xml:space="preserve">  14.95% as at Apr 30 2026</t>
        </is>
      </c>
      <c r="G13" s="2" t="n"/>
    </row>
    <row r="14" ht="15" customHeight="1" s="108">
      <c r="A14" s="2" t="n"/>
      <c r="B14" s="118" t="inlineStr">
        <is>
          <t xml:space="preserve">  FGN Bond  15-Year</t>
        </is>
      </c>
      <c r="C14" s="128" t="n">
        <v>0.1545</v>
      </c>
      <c r="D14" s="130" t="n">
        <v>0.1545</v>
      </c>
      <c r="E14" s="107" t="inlineStr">
        <is>
          <t xml:space="preserve">  DMO weekly bond highlights</t>
        </is>
      </c>
      <c r="F14" s="107" t="inlineStr">
        <is>
          <t xml:space="preserve">  </t>
        </is>
      </c>
      <c r="G14" s="2" t="n"/>
    </row>
    <row r="15" ht="15" customHeight="1" s="108">
      <c r="A15" s="2" t="n"/>
      <c r="B15" s="4" t="inlineStr">
        <is>
          <t xml:space="preserve">  FGN Bond  20-Year</t>
        </is>
      </c>
      <c r="C15" s="128" t="n">
        <v>0.1569</v>
      </c>
      <c r="D15" s="129" t="n">
        <v>0.1569</v>
      </c>
      <c r="E15" s="112" t="inlineStr">
        <is>
          <t xml:space="preserve">  DMO weekly bond highlights</t>
        </is>
      </c>
      <c r="F15" s="112" t="inlineStr">
        <is>
          <t xml:space="preserve">  </t>
        </is>
      </c>
      <c r="G15" s="2" t="n"/>
    </row>
    <row r="16" ht="15" customHeight="1" s="108">
      <c r="A16" s="2" t="n"/>
      <c r="B16" s="118" t="inlineStr">
        <is>
          <t xml:space="preserve">  FGN Bond  30-Year</t>
        </is>
      </c>
      <c r="C16" s="128" t="n">
        <v>0.157</v>
      </c>
      <c r="D16" s="130" t="n">
        <v>0.157</v>
      </c>
      <c r="E16" s="107" t="inlineStr">
        <is>
          <t xml:space="preserve">  DMO weekly bond highlights</t>
        </is>
      </c>
      <c r="F16" s="107" t="inlineStr">
        <is>
          <t xml:space="preserve">  </t>
        </is>
      </c>
      <c r="G16" s="2" t="n"/>
    </row>
    <row r="17" ht="15" customHeight="1" s="108">
      <c r="A17" s="2" t="n"/>
      <c r="B17" s="4" t="inlineStr">
        <is>
          <t xml:space="preserve">  Corp Bond Avg (IG)</t>
        </is>
      </c>
      <c r="C17" s="33" t="n">
        <v>0.18</v>
      </c>
      <c r="D17" s="33" t="n">
        <v>0.18</v>
      </c>
      <c r="E17" s="112" t="inlineStr">
        <is>
          <t xml:space="preserve">  FMDQ listings page  fmdqgroup.com</t>
        </is>
      </c>
      <c r="F17" s="112" t="inlineStr">
        <is>
          <t xml:space="preserve">  Investment grade avg coupon</t>
        </is>
      </c>
      <c r="G17" s="2" t="n"/>
    </row>
    <row r="18" ht="15" customHeight="1" s="108">
      <c r="A18" s="2" t="n"/>
      <c r="B18" s="118" t="inlineStr">
        <is>
          <t xml:space="preserve">  CP Avg Discount Rate</t>
        </is>
      </c>
      <c r="C18" s="33" t="n">
        <v>0.2238</v>
      </c>
      <c r="D18" s="33" t="n">
        <v>0.22</v>
      </c>
      <c r="E18" s="107" t="inlineStr">
        <is>
          <t xml:space="preserve">  FMDQ monthly report  fmdqgroup.com</t>
        </is>
      </c>
      <c r="F18" s="107" t="inlineStr">
        <is>
          <t xml:space="preserve">  Gross; subtract 10% WHT for net</t>
        </is>
      </c>
      <c r="G18" s="2" t="n"/>
    </row>
    <row r="19" ht="15" customHeight="1" s="108">
      <c r="A19" s="2" t="n"/>
      <c r="B19" s="4" t="inlineStr">
        <is>
          <t xml:space="preserve">  Inflation  (CPI)</t>
        </is>
      </c>
      <c r="C19" s="128" t="n">
        <v>0.1569</v>
      </c>
      <c r="D19" s="129" t="n">
        <v>0.1569</v>
      </c>
      <c r="E19" s="112" t="inlineStr">
        <is>
          <t xml:space="preserve">  NBS  nigerianstat.gov.ng</t>
        </is>
      </c>
      <c r="F19" s="112" t="inlineStr">
        <is>
          <t xml:space="preserve">  Most recent headline CPI</t>
        </is>
      </c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107" t="inlineStr">
        <is>
          <t xml:space="preserve">  Enter rates as decimals (0.18 = 18%). Update monthly or after each DMO auction.</t>
        </is>
      </c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/>
    <row r="42">
      <c r="B42" s="131" t="inlineStr">
        <is>
          <t xml:space="preserve">  Auto-refreshed: 18 May 2026  18:17  ·  Sources: CBN API (NTB/FGN) · TradingEconomics (10Y/MPR/CPI) · DMO Eurobond Excel</t>
        </is>
      </c>
    </row>
  </sheetData>
  <mergeCells count="4">
    <mergeCell ref="B2:F2"/>
    <mergeCell ref="B21:F21"/>
    <mergeCell ref="B3:F3"/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A6B35"/>
    <outlinePr summaryBelow="1" summaryRight="1"/>
    <pageSetUpPr/>
  </sheetPr>
  <dimension ref="A1:H92"/>
  <sheetViews>
    <sheetView showGridLines="0" zoomScale="90" workbookViewId="0">
      <selection activeCell="A1" sqref="A1"/>
    </sheetView>
  </sheetViews>
  <sheetFormatPr baseColWidth="10" defaultColWidth="8.83203125" defaultRowHeight="15"/>
  <cols>
    <col width="1.5" customWidth="1" style="108" min="1" max="1"/>
    <col width="22" customWidth="1" style="108" min="2" max="2"/>
    <col width="14" customWidth="1" style="108" min="3" max="6"/>
    <col width="13" customWidth="1" style="108" min="7" max="7"/>
    <col width="16" customWidth="1" style="108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</row>
    <row r="2" ht="22" customHeight="1" s="108">
      <c r="A2" s="2" t="n"/>
      <c r="B2" s="109" t="inlineStr">
        <is>
          <t>YIELD CURVE  &amp;  TREASURY BILLS  TRACKER</t>
        </is>
      </c>
      <c r="C2" s="106" t="n"/>
      <c r="D2" s="106" t="n"/>
      <c r="E2" s="106" t="n"/>
      <c r="F2" s="106" t="n"/>
      <c r="G2" s="106" t="n"/>
      <c r="H2" s="2" t="n"/>
    </row>
    <row r="3" ht="14" customHeight="1" s="108">
      <c r="A3" s="2" t="n"/>
      <c r="B3" s="107" t="inlineStr">
        <is>
          <t>Sovereign yield curve + NTB auction results. Pulls from CBN Rates sheet.</t>
        </is>
      </c>
      <c r="H3" s="34">
        <f>COUNTA(C7:C17)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64">
        <f>COUNTA(B21:B28)</f>
        <v/>
      </c>
    </row>
    <row r="5" ht="16" customHeight="1" s="108">
      <c r="A5" s="2" t="n"/>
      <c r="B5" s="105" t="inlineStr">
        <is>
          <t>SOVEREIGN YIELD CURVE  (data feeds FI Dashboard)</t>
        </is>
      </c>
      <c r="C5" s="106" t="n"/>
      <c r="D5" s="106" t="n"/>
      <c r="E5" s="106" t="n"/>
      <c r="F5" s="106" t="n"/>
      <c r="G5" s="106" t="n"/>
      <c r="H5" s="65">
        <f>IFERROR(AVERAGE(G21:G28),0)</f>
        <v/>
      </c>
    </row>
    <row r="6" ht="13" customHeight="1" s="108">
      <c r="A6" s="2" t="n"/>
      <c r="B6" s="10" t="inlineStr">
        <is>
          <t>Tenor</t>
        </is>
      </c>
      <c r="C6" s="10" t="inlineStr">
        <is>
          <t>Yield %</t>
        </is>
      </c>
      <c r="D6" s="10" t="inlineStr">
        <is>
          <t>Real Yield</t>
        </is>
      </c>
      <c r="E6" s="10" t="inlineStr">
        <is>
          <t>vs MPR  bps</t>
        </is>
      </c>
      <c r="F6" s="10" t="inlineStr">
        <is>
          <t>vs Inflation  bps</t>
        </is>
      </c>
      <c r="G6" s="10" t="inlineStr">
        <is>
          <t>Curve Shape</t>
        </is>
      </c>
      <c r="H6" s="66">
        <f>IFERROR(SUM(F21:F28),0)</f>
        <v/>
      </c>
    </row>
    <row r="7" ht="15" customHeight="1" s="108">
      <c r="A7" s="2" t="n"/>
      <c r="B7" s="4" t="inlineStr">
        <is>
          <t xml:space="preserve">  91  Days  (T-Bill)</t>
        </is>
      </c>
      <c r="C7" s="30">
        <f>CBNRates!C8</f>
        <v/>
      </c>
      <c r="D7" s="30">
        <f>IFERROR(C7-CBNRates!C19,"—")</f>
        <v/>
      </c>
      <c r="E7" s="31">
        <f>IFERROR((C7-CBNRates!C7)*10000,"—")</f>
        <v/>
      </c>
      <c r="F7" s="31">
        <f>IFERROR((C7-CBNRates!C19)*10000,"—")</f>
        <v/>
      </c>
      <c r="G7" s="2" t="n"/>
      <c r="H7" s="67">
        <f>IFERROR(_xludf.MINIFS(H21:H28,H21:H28,"&gt;"&amp;TODAY()),"—")</f>
        <v/>
      </c>
    </row>
    <row r="8" ht="15" customHeight="1" s="108">
      <c r="A8" s="2" t="n"/>
      <c r="B8" s="118" t="inlineStr">
        <is>
          <t xml:space="preserve">  182  Days</t>
        </is>
      </c>
      <c r="C8" s="32">
        <f>CBNRates!C9</f>
        <v/>
      </c>
      <c r="D8" s="32">
        <f>IFERROR(C8-CBNRates!C19,"—")</f>
        <v/>
      </c>
      <c r="E8" s="23">
        <f>IFERROR((C8-CBNRates!C7)*10000,"—")</f>
        <v/>
      </c>
      <c r="F8" s="23">
        <f>IFERROR((C8-CBNRates!C19)*10000,"—")</f>
        <v/>
      </c>
      <c r="G8" s="2" t="n"/>
      <c r="H8" s="2" t="n"/>
    </row>
    <row r="9" ht="15" customHeight="1" s="108">
      <c r="A9" s="2" t="n"/>
      <c r="B9" s="4" t="inlineStr">
        <is>
          <t xml:space="preserve">  364  Days</t>
        </is>
      </c>
      <c r="C9" s="30">
        <f>CBNRates!C10</f>
        <v/>
      </c>
      <c r="D9" s="30">
        <f>IFERROR(C9-CBNRates!C19,"—")</f>
        <v/>
      </c>
      <c r="E9" s="31">
        <f>IFERROR((C9-CBNRates!C7)*10000,"—")</f>
        <v/>
      </c>
      <c r="F9" s="31">
        <f>IFERROR((C9-CBNRates!C19)*10000,"—")</f>
        <v/>
      </c>
      <c r="G9" s="2" t="n"/>
      <c r="H9" s="2" t="n"/>
    </row>
    <row r="10" ht="15" customHeight="1" s="108">
      <c r="A10" s="2" t="n"/>
      <c r="B10" s="118" t="inlineStr">
        <is>
          <t xml:space="preserve">  2  Year</t>
        </is>
      </c>
      <c r="C10" s="32">
        <f>CBNRates!C11</f>
        <v/>
      </c>
      <c r="D10" s="32">
        <f>IFERROR(C10-CBNRates!C19,"—")</f>
        <v/>
      </c>
      <c r="E10" s="23">
        <f>IFERROR((C10-CBNRates!C7)*10000,"—")</f>
        <v/>
      </c>
      <c r="F10" s="23">
        <f>IFERROR((C10-CBNRates!C19)*10000,"—")</f>
        <v/>
      </c>
      <c r="G10" s="2" t="n"/>
      <c r="H10" s="2" t="n"/>
    </row>
    <row r="11" ht="15" customHeight="1" s="108">
      <c r="A11" s="2" t="n"/>
      <c r="B11" s="4" t="inlineStr">
        <is>
          <t xml:space="preserve">  3  Year</t>
        </is>
      </c>
      <c r="C11" s="30">
        <f>CBNRates!C11</f>
        <v/>
      </c>
      <c r="D11" s="30">
        <f>IFERROR(C11-CBNRates!C19,"—")</f>
        <v/>
      </c>
      <c r="E11" s="31">
        <f>IFERROR((C11-CBNRates!C7)*10000,"—")</f>
        <v/>
      </c>
      <c r="F11" s="31">
        <f>IFERROR((C11-CBNRates!C19)*10000,"—")</f>
        <v/>
      </c>
      <c r="G11" s="2" t="n"/>
      <c r="H11" s="2" t="n"/>
    </row>
    <row r="12" ht="15" customHeight="1" s="108">
      <c r="A12" s="2" t="n"/>
      <c r="B12" s="118" t="inlineStr">
        <is>
          <t xml:space="preserve">  5  Year</t>
        </is>
      </c>
      <c r="C12" s="32">
        <f>CBNRates!C12</f>
        <v/>
      </c>
      <c r="D12" s="32">
        <f>IFERROR(C12-CBNRates!C19,"—")</f>
        <v/>
      </c>
      <c r="E12" s="23">
        <f>IFERROR((C12-CBNRates!C7)*10000,"—")</f>
        <v/>
      </c>
      <c r="F12" s="23">
        <f>IFERROR((C12-CBNRates!C19)*10000,"—")</f>
        <v/>
      </c>
      <c r="G12" s="2" t="n"/>
      <c r="H12" s="2" t="n"/>
    </row>
    <row r="13" ht="15" customHeight="1" s="108">
      <c r="A13" s="2" t="n"/>
      <c r="B13" s="4" t="inlineStr">
        <is>
          <t xml:space="preserve">  7  Year</t>
        </is>
      </c>
      <c r="C13" s="30">
        <f>CBNRates!C12</f>
        <v/>
      </c>
      <c r="D13" s="30">
        <f>IFERROR(C13-CBNRates!C19,"—")</f>
        <v/>
      </c>
      <c r="E13" s="31">
        <f>IFERROR((C13-CBNRates!C7)*10000,"—")</f>
        <v/>
      </c>
      <c r="F13" s="31">
        <f>IFERROR((C13-CBNRates!C19)*10000,"—")</f>
        <v/>
      </c>
      <c r="G13" s="2" t="n"/>
      <c r="H13" s="2" t="n"/>
    </row>
    <row r="14" ht="15" customHeight="1" s="108">
      <c r="A14" s="2" t="n"/>
      <c r="B14" s="118" t="inlineStr">
        <is>
          <t xml:space="preserve">  10  Year</t>
        </is>
      </c>
      <c r="C14" s="32">
        <f>CBNRates!C13</f>
        <v/>
      </c>
      <c r="D14" s="32">
        <f>IFERROR(C14-CBNRates!C19,"—")</f>
        <v/>
      </c>
      <c r="E14" s="23">
        <f>IFERROR((C14-CBNRates!C7)*10000,"—")</f>
        <v/>
      </c>
      <c r="F14" s="23">
        <f>IFERROR((C14-CBNRates!C19)*10000,"—")</f>
        <v/>
      </c>
      <c r="G14" s="2" t="n"/>
      <c r="H14" s="2" t="n"/>
    </row>
    <row r="15" ht="15" customHeight="1" s="108">
      <c r="A15" s="2" t="n"/>
      <c r="B15" s="4" t="inlineStr">
        <is>
          <t xml:space="preserve">  15  Year</t>
        </is>
      </c>
      <c r="C15" s="30">
        <f>CBNRates!C14</f>
        <v/>
      </c>
      <c r="D15" s="30">
        <f>IFERROR(C15-CBNRates!C19,"—")</f>
        <v/>
      </c>
      <c r="E15" s="31">
        <f>IFERROR((C15-CBNRates!C7)*10000,"—")</f>
        <v/>
      </c>
      <c r="F15" s="31">
        <f>IFERROR((C15-CBNRates!C19)*10000,"—")</f>
        <v/>
      </c>
      <c r="G15" s="2" t="n"/>
      <c r="H15" s="2" t="n"/>
    </row>
    <row r="16" ht="15" customHeight="1" s="108">
      <c r="A16" s="2" t="n"/>
      <c r="B16" s="118" t="inlineStr">
        <is>
          <t xml:space="preserve">  20  Year</t>
        </is>
      </c>
      <c r="C16" s="32">
        <f>CBNRates!C15</f>
        <v/>
      </c>
      <c r="D16" s="32">
        <f>IFERROR(C16-CBNRates!C19,"—")</f>
        <v/>
      </c>
      <c r="E16" s="23">
        <f>IFERROR((C16-CBNRates!C7)*10000,"—")</f>
        <v/>
      </c>
      <c r="F16" s="23">
        <f>IFERROR((C16-CBNRates!C19)*10000,"—")</f>
        <v/>
      </c>
      <c r="G16" s="2" t="n"/>
      <c r="H16" s="2" t="n"/>
    </row>
    <row r="17" ht="15" customHeight="1" s="108">
      <c r="A17" s="2" t="n"/>
      <c r="B17" s="4" t="inlineStr">
        <is>
          <t xml:space="preserve">  30  Year</t>
        </is>
      </c>
      <c r="C17" s="30">
        <f>CBNRates!C16</f>
        <v/>
      </c>
      <c r="D17" s="30">
        <f>IFERROR(C17-CBNRates!C19,"—")</f>
        <v/>
      </c>
      <c r="E17" s="31">
        <f>IFERROR((C17-CBNRates!C7)*10000,"—")</f>
        <v/>
      </c>
      <c r="F17" s="31">
        <f>IFERROR((C17-CBNRates!C19)*10000,"—")</f>
        <v/>
      </c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16" customHeight="1" s="108">
      <c r="A19" s="2" t="n"/>
      <c r="B19" s="105" t="inlineStr">
        <is>
          <t>NTB  AUCTION TRACKER  —  Enter results after each DMO auction</t>
        </is>
      </c>
      <c r="C19" s="106" t="n"/>
      <c r="D19" s="106" t="n"/>
      <c r="E19" s="106" t="n"/>
      <c r="F19" s="106" t="n"/>
      <c r="G19" s="106" t="n"/>
      <c r="H19" s="2" t="n"/>
    </row>
    <row r="20" ht="13" customHeight="1" s="108">
      <c r="A20" s="2" t="n"/>
      <c r="B20" s="10" t="inlineStr">
        <is>
          <t>Auction Date</t>
        </is>
      </c>
      <c r="C20" s="10" t="inlineStr">
        <is>
          <t>Tenor</t>
        </is>
      </c>
      <c r="D20" s="10" t="inlineStr">
        <is>
          <t>Offered  ₦B</t>
        </is>
      </c>
      <c r="E20" s="10" t="inlineStr">
        <is>
          <t>Subscribed  ₦B</t>
        </is>
      </c>
      <c r="F20" s="10" t="inlineStr">
        <is>
          <t>Allotted  ₦B</t>
        </is>
      </c>
      <c r="G20" s="68" t="inlineStr">
        <is>
          <t>Stop Rate %</t>
        </is>
      </c>
      <c r="H20" s="68" t="inlineStr">
        <is>
          <t>Maturity Date</t>
        </is>
      </c>
    </row>
    <row r="21" ht="15" customHeight="1" s="108">
      <c r="B21" s="132" t="n">
        <v>46329</v>
      </c>
      <c r="C21" s="133" t="inlineStr">
        <is>
          <t>364 Day</t>
        </is>
      </c>
      <c r="D21" s="134" t="n">
        <v>600</v>
      </c>
      <c r="E21" s="134" t="n">
        <v>2567.181291</v>
      </c>
      <c r="F21" s="134" t="n">
        <v>731.811493</v>
      </c>
      <c r="G21" s="135" t="n">
        <v>0.1672</v>
      </c>
      <c r="H21" s="132" t="n">
        <v>46092</v>
      </c>
    </row>
    <row r="22" ht="15" customHeight="1" s="108">
      <c r="B22" s="132" t="n">
        <v>46329</v>
      </c>
      <c r="C22" s="133" t="inlineStr">
        <is>
          <t>182 Day</t>
        </is>
      </c>
      <c r="D22" s="134" t="n">
        <v>150</v>
      </c>
      <c r="E22" s="134" t="n">
        <v>82.33662699999999</v>
      </c>
      <c r="F22" s="134" t="n">
        <v>71.36872</v>
      </c>
      <c r="G22" s="135" t="n">
        <v>0.1665</v>
      </c>
      <c r="H22" s="132" t="n">
        <v>46275</v>
      </c>
    </row>
    <row r="23" ht="15" customHeight="1" s="108">
      <c r="B23" s="132" t="n">
        <v>46329</v>
      </c>
      <c r="C23" s="133" t="inlineStr">
        <is>
          <t>91 Day</t>
        </is>
      </c>
      <c r="D23" s="134" t="n">
        <v>100</v>
      </c>
      <c r="E23" s="134" t="n">
        <v>131.116736</v>
      </c>
      <c r="F23" s="134" t="n">
        <v>130.74132</v>
      </c>
      <c r="G23" s="135" t="n">
        <v>0.1595</v>
      </c>
      <c r="H23" s="132" t="n">
        <v>46184</v>
      </c>
    </row>
    <row r="24" ht="15" customHeight="1" s="108">
      <c r="B24" s="100" t="n">
        <v>46329</v>
      </c>
      <c r="C24" s="101" t="inlineStr">
        <is>
          <t>364 Day</t>
        </is>
      </c>
      <c r="D24" s="102" t="n">
        <v>600</v>
      </c>
      <c r="E24" s="102" t="n">
        <v>2567.181291</v>
      </c>
      <c r="F24" s="102" t="n">
        <v>731.811493</v>
      </c>
      <c r="G24" s="103" t="n">
        <v>0.1672</v>
      </c>
      <c r="H24" s="100" t="n">
        <v>46092</v>
      </c>
    </row>
    <row r="25" ht="15" customHeight="1" s="108">
      <c r="B25" s="100" t="n">
        <v>46329</v>
      </c>
      <c r="C25" s="101" t="inlineStr">
        <is>
          <t>182 Day</t>
        </is>
      </c>
      <c r="D25" s="102" t="n">
        <v>150</v>
      </c>
      <c r="E25" s="102" t="n">
        <v>82.33662699999999</v>
      </c>
      <c r="F25" s="102" t="n">
        <v>71.36872</v>
      </c>
      <c r="G25" s="103" t="n">
        <v>0.1665</v>
      </c>
      <c r="H25" s="100" t="n">
        <v>46275</v>
      </c>
    </row>
    <row r="26" ht="15" customHeight="1" s="108">
      <c r="B26" s="100" t="n">
        <v>46329</v>
      </c>
      <c r="C26" s="101" t="inlineStr">
        <is>
          <t>91 Day</t>
        </is>
      </c>
      <c r="D26" s="102" t="n">
        <v>100</v>
      </c>
      <c r="E26" s="102" t="n">
        <v>131.116736</v>
      </c>
      <c r="F26" s="102" t="n">
        <v>130.74132</v>
      </c>
      <c r="G26" s="103" t="n">
        <v>0.1595</v>
      </c>
      <c r="H26" s="100" t="n">
        <v>46184</v>
      </c>
    </row>
    <row r="27" ht="15" customHeight="1" s="108">
      <c r="B27" s="92" t="n">
        <v>46329</v>
      </c>
      <c r="C27" s="93" t="inlineStr">
        <is>
          <t>364 Day</t>
        </is>
      </c>
      <c r="D27" s="94" t="n">
        <v>600</v>
      </c>
      <c r="E27" s="94" t="n">
        <v>2567.181291</v>
      </c>
      <c r="F27" s="94" t="n">
        <v>731.811493</v>
      </c>
      <c r="G27" s="95" t="n">
        <v>0.1672</v>
      </c>
      <c r="H27" s="92" t="n">
        <v>46694</v>
      </c>
    </row>
    <row r="28" ht="15" customHeight="1" s="108">
      <c r="B28" s="92" t="n">
        <v>46329</v>
      </c>
      <c r="C28" s="93" t="inlineStr">
        <is>
          <t>182 Day</t>
        </is>
      </c>
      <c r="D28" s="94" t="n">
        <v>150</v>
      </c>
      <c r="E28" s="94" t="n">
        <v>82.33662699999999</v>
      </c>
      <c r="F28" s="94" t="n">
        <v>71.36872</v>
      </c>
      <c r="G28" s="95" t="n">
        <v>0.1665</v>
      </c>
      <c r="H28" s="92" t="n">
        <v>46275</v>
      </c>
    </row>
    <row r="29">
      <c r="B29" s="92" t="n">
        <v>46329</v>
      </c>
      <c r="C29" s="93" t="inlineStr">
        <is>
          <t>91 Day</t>
        </is>
      </c>
      <c r="D29" s="94" t="n">
        <v>100</v>
      </c>
      <c r="E29" s="94" t="n">
        <v>131.116736</v>
      </c>
      <c r="F29" s="94" t="n">
        <v>130.74132</v>
      </c>
      <c r="G29" s="95" t="n">
        <v>0.1595</v>
      </c>
      <c r="H29" s="92" t="n">
        <v>46184</v>
      </c>
    </row>
    <row r="30">
      <c r="B30" s="92" t="n">
        <v>46329</v>
      </c>
      <c r="C30" s="93" t="inlineStr">
        <is>
          <t>364 Day</t>
        </is>
      </c>
      <c r="D30" s="94" t="n">
        <v>600</v>
      </c>
      <c r="E30" s="94" t="n">
        <v>2567.181291</v>
      </c>
      <c r="F30" s="94" t="n">
        <v>731.811493</v>
      </c>
      <c r="G30" s="95" t="n">
        <v>0.1672</v>
      </c>
      <c r="H30" s="92" t="n">
        <v>46694</v>
      </c>
    </row>
    <row r="31">
      <c r="B31" s="92" t="n">
        <v>46329</v>
      </c>
      <c r="C31" s="93" t="inlineStr">
        <is>
          <t>182 Day</t>
        </is>
      </c>
      <c r="D31" s="94" t="n">
        <v>150</v>
      </c>
      <c r="E31" s="94" t="n">
        <v>82.33662699999999</v>
      </c>
      <c r="F31" s="94" t="n">
        <v>71.36872</v>
      </c>
      <c r="G31" s="95" t="n">
        <v>0.1665</v>
      </c>
      <c r="H31" s="92" t="n">
        <v>46275</v>
      </c>
    </row>
    <row r="32">
      <c r="B32" s="92" t="n">
        <v>46329</v>
      </c>
      <c r="C32" s="93" t="inlineStr">
        <is>
          <t>91 Day</t>
        </is>
      </c>
      <c r="D32" s="94" t="n">
        <v>100</v>
      </c>
      <c r="E32" s="94" t="n">
        <v>131.116736</v>
      </c>
      <c r="F32" s="94" t="n">
        <v>130.74132</v>
      </c>
      <c r="G32" s="95" t="n">
        <v>0.1595</v>
      </c>
      <c r="H32" s="92" t="n">
        <v>46184</v>
      </c>
    </row>
    <row r="33">
      <c r="A33" s="2" t="n"/>
      <c r="B33" s="36" t="n">
        <v>46139</v>
      </c>
      <c r="C33" s="69" t="inlineStr">
        <is>
          <t>91 Day</t>
        </is>
      </c>
      <c r="D33" s="37" t="n">
        <v>150</v>
      </c>
      <c r="E33" s="37" t="n">
        <v>342</v>
      </c>
      <c r="F33" s="37" t="n">
        <v>150</v>
      </c>
      <c r="G33" s="33" t="n">
        <v>0.182</v>
      </c>
      <c r="H33" s="36" t="n">
        <v>46230</v>
      </c>
    </row>
    <row r="34">
      <c r="A34" s="2" t="n"/>
      <c r="B34" s="36" t="n">
        <v>46139</v>
      </c>
      <c r="C34" s="69" t="inlineStr">
        <is>
          <t>182 Day</t>
        </is>
      </c>
      <c r="D34" s="37" t="n">
        <v>100</v>
      </c>
      <c r="E34" s="37" t="n">
        <v>198</v>
      </c>
      <c r="F34" s="37" t="n">
        <v>100</v>
      </c>
      <c r="G34" s="33" t="n">
        <v>0.191</v>
      </c>
      <c r="H34" s="36" t="n">
        <v>46321</v>
      </c>
    </row>
    <row r="35">
      <c r="A35" s="2" t="n"/>
      <c r="B35" s="36" t="n">
        <v>46139</v>
      </c>
      <c r="C35" s="69" t="inlineStr">
        <is>
          <t>364 Day</t>
        </is>
      </c>
      <c r="D35" s="37" t="n">
        <v>100</v>
      </c>
      <c r="E35" s="37" t="n">
        <v>187</v>
      </c>
      <c r="F35" s="37" t="n">
        <v>100</v>
      </c>
      <c r="G35" s="33" t="n">
        <v>0.201</v>
      </c>
      <c r="H35" s="36" t="n">
        <v>46503</v>
      </c>
    </row>
    <row r="36">
      <c r="A36" s="2" t="n"/>
      <c r="B36" s="36" t="n">
        <v>46108</v>
      </c>
      <c r="C36" s="69" t="inlineStr">
        <is>
          <t>91 Day</t>
        </is>
      </c>
      <c r="D36" s="37" t="n">
        <v>150</v>
      </c>
      <c r="E36" s="37" t="n">
        <v>310</v>
      </c>
      <c r="F36" s="37" t="n">
        <v>150</v>
      </c>
      <c r="G36" s="33" t="n">
        <v>0.185</v>
      </c>
      <c r="H36" s="36" t="n">
        <v>46199</v>
      </c>
    </row>
    <row r="37">
      <c r="A37" s="2" t="n"/>
      <c r="B37" s="36" t="n">
        <v>46108</v>
      </c>
      <c r="C37" s="69" t="inlineStr">
        <is>
          <t>182 Day</t>
        </is>
      </c>
      <c r="D37" s="37" t="n">
        <v>100</v>
      </c>
      <c r="E37" s="37" t="n">
        <v>195</v>
      </c>
      <c r="F37" s="37" t="n">
        <v>100</v>
      </c>
      <c r="G37" s="33" t="n">
        <v>0.194</v>
      </c>
      <c r="H37" s="36" t="n">
        <v>46290</v>
      </c>
    </row>
    <row r="38">
      <c r="A38" s="2" t="n"/>
      <c r="B38" s="36" t="n">
        <v>46108</v>
      </c>
      <c r="C38" s="69" t="inlineStr">
        <is>
          <t>364 Day</t>
        </is>
      </c>
      <c r="D38" s="37" t="n">
        <v>100</v>
      </c>
      <c r="E38" s="37" t="n">
        <v>175</v>
      </c>
      <c r="F38" s="37" t="n">
        <v>100</v>
      </c>
      <c r="G38" s="33" t="n">
        <v>0.204</v>
      </c>
      <c r="H38" s="36" t="n">
        <v>46472</v>
      </c>
    </row>
    <row r="39">
      <c r="A39" s="2" t="n"/>
      <c r="B39" s="36" t="n">
        <v>46080</v>
      </c>
      <c r="C39" s="69" t="inlineStr">
        <is>
          <t>91 Day</t>
        </is>
      </c>
      <c r="D39" s="37" t="n">
        <v>150</v>
      </c>
      <c r="E39" s="37" t="n">
        <v>290</v>
      </c>
      <c r="F39" s="37" t="n">
        <v>150</v>
      </c>
      <c r="G39" s="33" t="n">
        <v>0.188</v>
      </c>
      <c r="H39" s="36" t="n">
        <v>46171</v>
      </c>
    </row>
    <row r="40">
      <c r="A40" s="2" t="n"/>
      <c r="B40" s="36" t="n">
        <v>46080</v>
      </c>
      <c r="C40" s="69" t="inlineStr">
        <is>
          <t>364 Day</t>
        </is>
      </c>
      <c r="D40" s="37" t="n">
        <v>100</v>
      </c>
      <c r="E40" s="37" t="n">
        <v>165</v>
      </c>
      <c r="F40" s="37" t="n">
        <v>100</v>
      </c>
      <c r="G40" s="33" t="n">
        <v>0.207</v>
      </c>
      <c r="H40" s="36" t="n">
        <v>46444</v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</sheetData>
  <mergeCells count="4">
    <mergeCell ref="B3:G3"/>
    <mergeCell ref="B2:G2"/>
    <mergeCell ref="B5:G5"/>
    <mergeCell ref="B19:G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A6B35"/>
    <outlinePr summaryBelow="1" summaryRight="1"/>
    <pageSetUpPr/>
  </sheetPr>
  <dimension ref="A1:L80"/>
  <sheetViews>
    <sheetView showGridLines="0" zoomScale="90" workbookViewId="0">
      <selection activeCell="U37" sqref="U37"/>
    </sheetView>
  </sheetViews>
  <sheetFormatPr baseColWidth="10" defaultColWidth="8.83203125" defaultRowHeight="15"/>
  <cols>
    <col width="1.5" customWidth="1" style="108" min="1" max="1"/>
    <col width="24" customWidth="1" style="108" min="2" max="2"/>
    <col width="12" customWidth="1" style="108" min="3" max="11"/>
    <col width="1.5" customWidth="1" style="108" min="12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 s="108">
      <c r="A2" s="2" t="n"/>
      <c r="B2" s="109" t="inlineStr">
        <is>
          <t>FGN  BOND  TRACKER  —  Active Federal Government of Nigeria Bonds</t>
        </is>
      </c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2" t="n"/>
    </row>
    <row r="3" ht="14" customHeight="1" s="108">
      <c r="A3" s="2" t="n"/>
      <c r="B3" s="107" t="inlineStr">
        <is>
          <t>Source: DMO weekly highlights (dmo.gov.ng)  +  FMDQ closing prices. Blue cells = manual update.</t>
        </is>
      </c>
      <c r="L3" s="2" t="n"/>
    </row>
    <row r="4">
      <c r="A4" s="2" t="n"/>
      <c r="B4" s="70">
        <f>COUNTA(B7:B19)-COUNTBLANK(B7:B19)</f>
        <v/>
      </c>
      <c r="C4" s="65">
        <f>IFERROR(AVERAGEIF(G7:G19,"&gt;0",G7:G19),0)</f>
        <v/>
      </c>
      <c r="D4" s="66">
        <f>IFERROR(SUM(H7:H19),0)</f>
        <v/>
      </c>
      <c r="E4" s="67">
        <f>IFERROR(_xludf.MINIFS(E7:E19,E7:E19,"&gt;"&amp;TODAY()),"—")</f>
        <v/>
      </c>
      <c r="F4" s="2" t="n"/>
      <c r="G4" s="2" t="n"/>
      <c r="H4" s="2" t="n"/>
      <c r="I4" s="2" t="n"/>
      <c r="J4" s="2" t="n"/>
      <c r="K4" s="2" t="n"/>
      <c r="L4" s="2" t="n"/>
    </row>
    <row r="5" ht="16" customHeight="1" s="108">
      <c r="A5" s="2" t="n"/>
      <c r="B5" s="105" t="inlineStr">
        <is>
          <t>ACTIVE FGN BONDS  —  Re-opening series  ·  Source: DMO.gov.ng  ·  Update after each monthly auction</t>
        </is>
      </c>
      <c r="C5" s="106" t="n"/>
      <c r="D5" s="106" t="n"/>
      <c r="E5" s="106" t="n"/>
      <c r="F5" s="106" t="n"/>
      <c r="G5" s="106" t="n"/>
      <c r="H5" s="106" t="n"/>
      <c r="I5" s="106" t="n"/>
      <c r="J5" s="106" t="n"/>
      <c r="K5" s="106" t="n"/>
      <c r="L5" s="2" t="n"/>
    </row>
    <row r="6" ht="13" customHeight="1" s="108">
      <c r="A6" s="2" t="n"/>
      <c r="B6" s="10" t="inlineStr">
        <is>
          <t>Bond Name / ISIN</t>
        </is>
      </c>
      <c r="C6" s="10" t="inlineStr">
        <is>
          <t>Coupon %</t>
        </is>
      </c>
      <c r="D6" s="10" t="inlineStr">
        <is>
          <t>Issue Date</t>
        </is>
      </c>
      <c r="E6" s="10" t="inlineStr">
        <is>
          <t>Maturity Date</t>
        </is>
      </c>
      <c r="F6" s="10" t="inlineStr">
        <is>
          <t>Tenor (yrs)</t>
        </is>
      </c>
      <c r="G6" s="10" t="inlineStr">
        <is>
          <t>Current Yield %</t>
        </is>
      </c>
      <c r="H6" s="10" t="inlineStr">
        <is>
          <t>Outstanding  ₦B</t>
        </is>
      </c>
      <c r="I6" s="10" t="inlineStr">
        <is>
          <t>Last Auction Stop Rate</t>
        </is>
      </c>
      <c r="J6" s="10" t="inlineStr">
        <is>
          <t>Bid-Cover</t>
        </is>
      </c>
      <c r="K6" s="10" t="inlineStr">
        <is>
          <t>Benchmark?</t>
        </is>
      </c>
      <c r="L6" s="2" t="n"/>
    </row>
    <row r="7" ht="16" customHeight="1" s="108">
      <c r="A7" s="2" t="n"/>
      <c r="B7" s="4" t="inlineStr">
        <is>
          <t xml:space="preserve">  17.945%  FGN  AUG 2030</t>
        </is>
      </c>
      <c r="C7" s="35" t="inlineStr">
        <is>
          <t>17.945%</t>
        </is>
      </c>
      <c r="D7" s="36" t="n">
        <v>44060</v>
      </c>
      <c r="E7" s="36" t="n">
        <v>47712</v>
      </c>
      <c r="F7" s="122">
        <f>IFERROR(DATEDIF(D7,E7,"Y"),"—")</f>
        <v/>
      </c>
      <c r="G7" s="33" t="n">
        <v>0.163</v>
      </c>
      <c r="H7" s="37" t="n">
        <v>1250</v>
      </c>
      <c r="I7" s="12" t="inlineStr">
        <is>
          <t>16.00%</t>
        </is>
      </c>
      <c r="J7" s="12" t="inlineStr">
        <is>
          <t>1.2</t>
        </is>
      </c>
      <c r="K7" s="5" t="inlineStr">
        <is>
          <t>Yes</t>
        </is>
      </c>
      <c r="L7" s="2" t="n"/>
    </row>
    <row r="8" ht="16" customHeight="1" s="108">
      <c r="A8" s="2" t="n"/>
      <c r="B8" s="118" t="inlineStr">
        <is>
          <t xml:space="preserve">  17.95%   FGN  JUN 2032</t>
        </is>
      </c>
      <c r="C8" s="35" t="inlineStr">
        <is>
          <t>17.95%</t>
        </is>
      </c>
      <c r="D8" s="36" t="n">
        <v>44732</v>
      </c>
      <c r="E8" s="36" t="n">
        <v>48385</v>
      </c>
      <c r="F8" s="26">
        <f>IFERROR(DATEDIF(D8,E8,"Y"),"—")</f>
        <v/>
      </c>
      <c r="G8" s="33" t="n">
        <v>0.165</v>
      </c>
      <c r="H8" s="37" t="n">
        <v>980</v>
      </c>
      <c r="I8" s="12" t="inlineStr">
        <is>
          <t>16.15%</t>
        </is>
      </c>
      <c r="J8" s="12" t="inlineStr">
        <is>
          <t>1.4</t>
        </is>
      </c>
      <c r="K8" s="9" t="inlineStr">
        <is>
          <t>Yes</t>
        </is>
      </c>
      <c r="L8" s="2" t="n"/>
    </row>
    <row r="9" ht="16" customHeight="1" s="108">
      <c r="A9" s="2" t="n"/>
      <c r="B9" s="4" t="inlineStr">
        <is>
          <t xml:space="preserve">  22.60%   FGN  JAN 2035</t>
        </is>
      </c>
      <c r="C9" s="35" t="inlineStr">
        <is>
          <t>22.60%</t>
        </is>
      </c>
      <c r="D9" s="36" t="n">
        <v>45677</v>
      </c>
      <c r="E9" s="36" t="n">
        <v>49329</v>
      </c>
      <c r="F9" s="122">
        <f>IFERROR(DATEDIF(D9,E9,"Y"),"—")</f>
        <v/>
      </c>
      <c r="G9" s="33" t="n">
        <v>0.1659</v>
      </c>
      <c r="H9" s="37" t="n">
        <v>2100</v>
      </c>
      <c r="I9" s="12" t="inlineStr">
        <is>
          <t>17.52%</t>
        </is>
      </c>
      <c r="J9" s="12" t="inlineStr">
        <is>
          <t>2.5</t>
        </is>
      </c>
      <c r="K9" s="5" t="inlineStr">
        <is>
          <t>Yes</t>
        </is>
      </c>
      <c r="L9" s="2" t="n"/>
    </row>
    <row r="10" ht="16" customHeight="1" s="108">
      <c r="A10" s="2" t="n"/>
      <c r="B10" s="118" t="inlineStr">
        <is>
          <t xml:space="preserve">  14.55%   FGN  APR 2029</t>
        </is>
      </c>
      <c r="C10" s="35" t="inlineStr">
        <is>
          <t>14.55%</t>
        </is>
      </c>
      <c r="D10" s="36" t="n">
        <v>43570</v>
      </c>
      <c r="E10" s="36" t="n">
        <v>47223</v>
      </c>
      <c r="F10" s="26">
        <f>IFERROR(DATEDIF(D10,E10,"Y"),"—")</f>
        <v/>
      </c>
      <c r="G10" s="33" t="n">
        <v>0.165</v>
      </c>
      <c r="H10" s="37" t="n">
        <v>760</v>
      </c>
      <c r="I10" s="12" t="inlineStr">
        <is>
          <t>—</t>
        </is>
      </c>
      <c r="J10" s="12" t="inlineStr">
        <is>
          <t>—</t>
        </is>
      </c>
      <c r="K10" s="9" t="inlineStr">
        <is>
          <t>No</t>
        </is>
      </c>
      <c r="L10" s="2" t="n"/>
    </row>
    <row r="11" ht="16" customHeight="1" s="108">
      <c r="A11" s="2" t="n"/>
      <c r="B11" s="4" t="inlineStr">
        <is>
          <t xml:space="preserve">  12.50%   FGN  MAR 2035</t>
        </is>
      </c>
      <c r="C11" s="35" t="inlineStr">
        <is>
          <t>12.50%</t>
        </is>
      </c>
      <c r="D11" s="36" t="n">
        <v>43913</v>
      </c>
      <c r="E11" s="36" t="n">
        <v>49391</v>
      </c>
      <c r="F11" s="122">
        <f>IFERROR(DATEDIF(D11,E11,"Y"),"—")</f>
        <v/>
      </c>
      <c r="G11" s="33" t="n">
        <v>0.1659</v>
      </c>
      <c r="H11" s="37" t="n">
        <v>850</v>
      </c>
      <c r="I11" s="12" t="inlineStr">
        <is>
          <t>—</t>
        </is>
      </c>
      <c r="J11" s="12" t="inlineStr">
        <is>
          <t>—</t>
        </is>
      </c>
      <c r="K11" s="5" t="inlineStr">
        <is>
          <t>No</t>
        </is>
      </c>
      <c r="L11" s="2" t="n"/>
    </row>
    <row r="12" ht="16" customHeight="1" s="108">
      <c r="A12" s="2" t="n"/>
      <c r="B12" s="118" t="inlineStr">
        <is>
          <t xml:space="preserve">  16.39%   FGN  JAN 2022</t>
        </is>
      </c>
      <c r="C12" s="35" t="inlineStr">
        <is>
          <t>16.39%</t>
        </is>
      </c>
      <c r="D12" s="36" t="n">
        <v>42023</v>
      </c>
      <c r="E12" s="36" t="n">
        <v>50059</v>
      </c>
      <c r="F12" s="26">
        <f>IFERROR(DATEDIF(D12,E12,"Y"),"—")</f>
        <v/>
      </c>
      <c r="G12" s="33" t="n">
        <v>0.17</v>
      </c>
      <c r="H12" s="37" t="n">
        <v>620</v>
      </c>
      <c r="I12" s="12" t="inlineStr">
        <is>
          <t>—</t>
        </is>
      </c>
      <c r="J12" s="12" t="inlineStr">
        <is>
          <t>—</t>
        </is>
      </c>
      <c r="K12" s="9" t="inlineStr">
        <is>
          <t>No</t>
        </is>
      </c>
      <c r="L12" s="2" t="n"/>
    </row>
    <row r="13" ht="16" customHeight="1" s="108">
      <c r="A13" s="2" t="n"/>
      <c r="B13" s="4" t="inlineStr">
        <is>
          <t xml:space="preserve">  FGN  FEB 2031  (Reopened)</t>
        </is>
      </c>
      <c r="C13" s="35" t="inlineStr">
        <is>
          <t>~17.62%</t>
        </is>
      </c>
      <c r="D13" s="36" t="n">
        <v>46073</v>
      </c>
      <c r="E13" s="36" t="n">
        <v>47899</v>
      </c>
      <c r="F13" s="122">
        <f>IFERROR(DATEDIF(D13,E13,"Y"),"—")</f>
        <v/>
      </c>
      <c r="G13" s="33" t="n">
        <v>0.1762</v>
      </c>
      <c r="H13" s="37" t="n">
        <v>1680</v>
      </c>
      <c r="I13" s="12" t="inlineStr">
        <is>
          <t>17.62%</t>
        </is>
      </c>
      <c r="J13" s="12" t="inlineStr">
        <is>
          <t>2.5</t>
        </is>
      </c>
      <c r="K13" s="5" t="inlineStr">
        <is>
          <t>Yes</t>
        </is>
      </c>
      <c r="L13" s="2" t="n"/>
    </row>
    <row r="14" ht="16" customHeight="1" s="108">
      <c r="A14" s="2" t="n"/>
      <c r="B14" s="118" t="inlineStr">
        <is>
          <t xml:space="preserve">  FGN  FEB 2034  (Reopened)</t>
        </is>
      </c>
      <c r="C14" s="35" t="inlineStr">
        <is>
          <t>~15.50%</t>
        </is>
      </c>
      <c r="D14" s="36" t="n">
        <v>46073</v>
      </c>
      <c r="E14" s="36" t="n">
        <v>48995</v>
      </c>
      <c r="F14" s="26">
        <f>IFERROR(DATEDIF(D14,E14,"Y"),"—")</f>
        <v/>
      </c>
      <c r="G14" s="33" t="n">
        <v>0.155</v>
      </c>
      <c r="H14" s="37" t="n">
        <v>524</v>
      </c>
      <c r="I14" s="12" t="inlineStr">
        <is>
          <t>15.50%</t>
        </is>
      </c>
      <c r="J14" s="12" t="inlineStr">
        <is>
          <t>1.3</t>
        </is>
      </c>
      <c r="K14" s="9" t="inlineStr">
        <is>
          <t>Yes</t>
        </is>
      </c>
      <c r="L14" s="2" t="n"/>
    </row>
    <row r="15" ht="16" customHeight="1" s="108">
      <c r="A15" s="2" t="n"/>
      <c r="B15" s="4" t="inlineStr">
        <is>
          <t xml:space="preserve">  FGN  MAY 2033  (Reopened)</t>
        </is>
      </c>
      <c r="C15" s="35" t="inlineStr">
        <is>
          <t>~16.64%</t>
        </is>
      </c>
      <c r="D15" s="36" t="n">
        <v>46101</v>
      </c>
      <c r="E15" s="36" t="n">
        <v>48719</v>
      </c>
      <c r="F15" s="122">
        <f>IFERROR(DATEDIF(D15,E15,"Y"),"—")</f>
        <v/>
      </c>
      <c r="G15" s="33" t="n">
        <v>0.1664</v>
      </c>
      <c r="H15" s="37" t="n">
        <v>486</v>
      </c>
      <c r="I15" s="12" t="inlineStr">
        <is>
          <t>16.64%</t>
        </is>
      </c>
      <c r="J15" s="12" t="inlineStr">
        <is>
          <t>1.2</t>
        </is>
      </c>
      <c r="K15" s="5" t="inlineStr">
        <is>
          <t>No</t>
        </is>
      </c>
      <c r="L15" s="2" t="n"/>
    </row>
    <row r="16" ht="16" customHeight="1" s="108">
      <c r="A16" s="2" t="n"/>
      <c r="B16" s="118" t="inlineStr">
        <is>
          <t xml:space="preserve">  FGN  APR 2036  Sukuk</t>
        </is>
      </c>
      <c r="C16" s="35" t="inlineStr">
        <is>
          <t>Ijarah</t>
        </is>
      </c>
      <c r="D16" s="36" t="n">
        <v>44375</v>
      </c>
      <c r="E16" s="36" t="n">
        <v>49854</v>
      </c>
      <c r="F16" s="26">
        <f>IFERROR(DATEDIF(D16,E16,"Y"),"—")</f>
        <v/>
      </c>
      <c r="G16" s="33" t="inlineStr">
        <is>
          <t>—</t>
        </is>
      </c>
      <c r="H16" s="37" t="n">
        <v>162.6</v>
      </c>
      <c r="I16" s="12" t="inlineStr">
        <is>
          <t>—</t>
        </is>
      </c>
      <c r="J16" s="12" t="inlineStr">
        <is>
          <t>—</t>
        </is>
      </c>
      <c r="K16" s="9" t="inlineStr">
        <is>
          <t>No</t>
        </is>
      </c>
      <c r="L16" s="2" t="n"/>
    </row>
    <row r="17" ht="16" customHeight="1" s="108">
      <c r="A17" s="2" t="n"/>
      <c r="B17" s="4" t="inlineStr">
        <is>
          <t xml:space="preserve">  FGN  Green Bond  2027</t>
        </is>
      </c>
      <c r="C17" s="35" t="inlineStr">
        <is>
          <t>13.98%</t>
        </is>
      </c>
      <c r="D17" s="36" t="n">
        <v>43087</v>
      </c>
      <c r="E17" s="36" t="n">
        <v>46739</v>
      </c>
      <c r="F17" s="122">
        <f>IFERROR(DATEDIF(D17,E17,"Y"),"—")</f>
        <v/>
      </c>
      <c r="G17" s="33" t="n">
        <v>0.162</v>
      </c>
      <c r="H17" s="37" t="n">
        <v>10.69</v>
      </c>
      <c r="I17" s="12" t="inlineStr">
        <is>
          <t>—</t>
        </is>
      </c>
      <c r="J17" s="12" t="inlineStr">
        <is>
          <t>—</t>
        </is>
      </c>
      <c r="K17" s="5" t="inlineStr">
        <is>
          <t>No</t>
        </is>
      </c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16" customHeight="1" s="108">
      <c r="A19" s="2" t="n"/>
      <c r="B19" s="105" t="inlineStr">
        <is>
          <t>BOND ANALYTICS  (auto-calculated from inputs above  ·  assumes semi-annual coupons)</t>
        </is>
      </c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2" t="n"/>
    </row>
    <row r="20" ht="13" customHeight="1" s="108">
      <c r="A20" s="2" t="n"/>
      <c r="B20" s="10" t="inlineStr">
        <is>
          <t>Bond Name</t>
        </is>
      </c>
      <c r="C20" s="10" t="inlineStr">
        <is>
          <t>Years to Maturity</t>
        </is>
      </c>
      <c r="D20" s="10" t="inlineStr">
        <is>
          <t>Modified Duration</t>
        </is>
      </c>
      <c r="E20" s="10" t="inlineStr">
        <is>
          <t>Convexity</t>
        </is>
      </c>
      <c r="F20" s="10" t="inlineStr">
        <is>
          <t>Price  @  Par</t>
        </is>
      </c>
      <c r="G20" s="10" t="inlineStr">
        <is>
          <t>Spread vs 10Y FGN  bps</t>
        </is>
      </c>
      <c r="H20" s="10" t="inlineStr">
        <is>
          <t>Spread vs T-Bill  bps</t>
        </is>
      </c>
      <c r="I20" s="10" t="inlineStr">
        <is>
          <t>Real Yield  %</t>
        </is>
      </c>
      <c r="J20" s="10" t="inlineStr">
        <is>
          <t>WHT Net  %</t>
        </is>
      </c>
      <c r="K20" s="10" t="inlineStr">
        <is>
          <t>Buy Signal</t>
        </is>
      </c>
      <c r="L20" s="2" t="n"/>
    </row>
    <row r="21" ht="16" customHeight="1" s="108">
      <c r="A21" s="2" t="n"/>
      <c r="B21" s="38">
        <f>B7</f>
        <v/>
      </c>
      <c r="C21" s="39">
        <f>IFERROR(YEARFRAC(TODAY(),E7,1),"—")</f>
        <v/>
      </c>
      <c r="D21" s="40">
        <f>IFERROR(DURATION(TODAY(),E7,C7,G7,2,1),"—")</f>
        <v/>
      </c>
      <c r="E21" s="40">
        <f>IFERROR(C21*(C21+1)/((1+G7/2)^2),"—")</f>
        <v/>
      </c>
      <c r="F21" s="40">
        <f>IFERROR(PRICE(TODAY(),E7,C7,G7,100,2,1),"—")</f>
        <v/>
      </c>
      <c r="G21" s="31">
        <f>IFERROR((G7-CBNRates!C13)*10000,"—")</f>
        <v/>
      </c>
      <c r="H21" s="31">
        <f>IFERROR((G7-CBNRates!C13)*10000,"—")</f>
        <v/>
      </c>
      <c r="I21" s="30">
        <f>IFERROR(G7-CBNRates!C19,"—")</f>
        <v/>
      </c>
      <c r="J21" s="30">
        <f>IFERROR(G7*0.9,"—")</f>
        <v/>
      </c>
      <c r="K21" s="122">
        <f>IFERROR(IF(G7&gt;CBNRates!C19,"Real +ve","Real -ve"),"—")</f>
        <v/>
      </c>
      <c r="L21" s="2" t="n"/>
    </row>
    <row r="22" ht="16" customHeight="1" s="108">
      <c r="A22" s="2" t="n"/>
      <c r="B22" s="29">
        <f>B8</f>
        <v/>
      </c>
      <c r="C22" s="41">
        <f>IFERROR(YEARFRAC(TODAY(),E8,1),"—")</f>
        <v/>
      </c>
      <c r="D22" s="42">
        <f>IFERROR(DURATION(TODAY(),E8,C8,G8,2,1),"—")</f>
        <v/>
      </c>
      <c r="E22" s="42">
        <f>IFERROR(C22*(C22+1)/((1+G8/2)^2),"—")</f>
        <v/>
      </c>
      <c r="F22" s="42">
        <f>IFERROR(PRICE(TODAY(),E8,C8,G8,100,2,1),"—")</f>
        <v/>
      </c>
      <c r="G22" s="23">
        <f>IFERROR((G8-CBNRates!C13)*10000,"—")</f>
        <v/>
      </c>
      <c r="H22" s="23">
        <f>IFERROR((G8-CBNRates!C13)*10000,"—")</f>
        <v/>
      </c>
      <c r="I22" s="32">
        <f>IFERROR(G8-CBNRates!C19,"—")</f>
        <v/>
      </c>
      <c r="J22" s="32">
        <f>IFERROR(G8*0.9,"—")</f>
        <v/>
      </c>
      <c r="K22" s="26">
        <f>IFERROR(IF(G8&gt;CBNRates!C19,"Real +ve","Real -ve"),"—")</f>
        <v/>
      </c>
      <c r="L22" s="2" t="n"/>
    </row>
    <row r="23" ht="16" customHeight="1" s="108">
      <c r="A23" s="2" t="n"/>
      <c r="B23" s="38">
        <f>B9</f>
        <v/>
      </c>
      <c r="C23" s="39">
        <f>IFERROR(YEARFRAC(TODAY(),E9,1),"—")</f>
        <v/>
      </c>
      <c r="D23" s="40">
        <f>IFERROR(DURATION(TODAY(),E9,C9,G9,2,1),"—")</f>
        <v/>
      </c>
      <c r="E23" s="40">
        <f>IFERROR(C23*(C23+1)/((1+G9/2)^2),"—")</f>
        <v/>
      </c>
      <c r="F23" s="40">
        <f>IFERROR(PRICE(TODAY(),E9,C9,G9,100,2,1),"—")</f>
        <v/>
      </c>
      <c r="G23" s="31">
        <f>IFERROR((G9-CBNRates!C13)*10000,"—")</f>
        <v/>
      </c>
      <c r="H23" s="31">
        <f>IFERROR((G9-CBNRates!C13)*10000,"—")</f>
        <v/>
      </c>
      <c r="I23" s="30">
        <f>IFERROR(G9-CBNRates!C19,"—")</f>
        <v/>
      </c>
      <c r="J23" s="30">
        <f>IFERROR(G9*0.9,"—")</f>
        <v/>
      </c>
      <c r="K23" s="122">
        <f>IFERROR(IF(G9&gt;CBNRates!C19,"Real +ve","Real -ve"),"—")</f>
        <v/>
      </c>
      <c r="L23" s="2" t="n"/>
    </row>
    <row r="24" ht="16" customHeight="1" s="108">
      <c r="A24" s="2" t="n"/>
      <c r="B24" s="29">
        <f>B10</f>
        <v/>
      </c>
      <c r="C24" s="41">
        <f>IFERROR(YEARFRAC(TODAY(),E10,1),"—")</f>
        <v/>
      </c>
      <c r="D24" s="42">
        <f>IFERROR(DURATION(TODAY(),E10,C10,G10,2,1),"—")</f>
        <v/>
      </c>
      <c r="E24" s="42">
        <f>IFERROR(C24*(C24+1)/((1+G10/2)^2),"—")</f>
        <v/>
      </c>
      <c r="F24" s="42">
        <f>IFERROR(PRICE(TODAY(),E10,C10,G10,100,2,1),"—")</f>
        <v/>
      </c>
      <c r="G24" s="23">
        <f>IFERROR((G10-CBNRates!C13)*10000,"—")</f>
        <v/>
      </c>
      <c r="H24" s="23">
        <f>IFERROR((G10-CBNRates!C13)*10000,"—")</f>
        <v/>
      </c>
      <c r="I24" s="32">
        <f>IFERROR(G10-CBNRates!C19,"—")</f>
        <v/>
      </c>
      <c r="J24" s="32">
        <f>IFERROR(G10*0.9,"—")</f>
        <v/>
      </c>
      <c r="K24" s="26">
        <f>IFERROR(IF(G10&gt;CBNRates!C19,"Real +ve","Real -ve"),"—")</f>
        <v/>
      </c>
      <c r="L24" s="2" t="n"/>
    </row>
    <row r="25" ht="16" customHeight="1" s="108">
      <c r="A25" s="2" t="n"/>
      <c r="B25" s="38">
        <f>B11</f>
        <v/>
      </c>
      <c r="C25" s="39">
        <f>IFERROR(YEARFRAC(TODAY(),E11,1),"—")</f>
        <v/>
      </c>
      <c r="D25" s="40">
        <f>IFERROR(DURATION(TODAY(),E11,C11,G11,2,1),"—")</f>
        <v/>
      </c>
      <c r="E25" s="40">
        <f>IFERROR(C25*(C25+1)/((1+G11/2)^2),"—")</f>
        <v/>
      </c>
      <c r="F25" s="40">
        <f>IFERROR(PRICE(TODAY(),E11,C11,G11,100,2,1),"—")</f>
        <v/>
      </c>
      <c r="G25" s="31">
        <f>IFERROR((G11-CBNRates!C13)*10000,"—")</f>
        <v/>
      </c>
      <c r="H25" s="31">
        <f>IFERROR((G11-CBNRates!C13)*10000,"—")</f>
        <v/>
      </c>
      <c r="I25" s="30">
        <f>IFERROR(G11-CBNRates!C19,"—")</f>
        <v/>
      </c>
      <c r="J25" s="30">
        <f>IFERROR(G11*0.9,"—")</f>
        <v/>
      </c>
      <c r="K25" s="122">
        <f>IFERROR(IF(G11&gt;CBNRates!C19,"Real +ve","Real -ve"),"—")</f>
        <v/>
      </c>
      <c r="L25" s="2" t="n"/>
    </row>
    <row r="26" ht="16" customHeight="1" s="108">
      <c r="A26" s="2" t="n"/>
      <c r="B26" s="29">
        <f>B12</f>
        <v/>
      </c>
      <c r="C26" s="41">
        <f>IFERROR(YEARFRAC(TODAY(),E12,1),"—")</f>
        <v/>
      </c>
      <c r="D26" s="42">
        <f>IFERROR(DURATION(TODAY(),E12,C12,G12,2,1),"—")</f>
        <v/>
      </c>
      <c r="E26" s="42">
        <f>IFERROR(C26*(C26+1)/((1+G12/2)^2),"—")</f>
        <v/>
      </c>
      <c r="F26" s="42">
        <f>IFERROR(PRICE(TODAY(),E12,C12,G12,100,2,1),"—")</f>
        <v/>
      </c>
      <c r="G26" s="23">
        <f>IFERROR((G12-CBNRates!C13)*10000,"—")</f>
        <v/>
      </c>
      <c r="H26" s="23">
        <f>IFERROR((G12-CBNRates!C13)*10000,"—")</f>
        <v/>
      </c>
      <c r="I26" s="32">
        <f>IFERROR(G12-CBNRates!C19,"—")</f>
        <v/>
      </c>
      <c r="J26" s="32">
        <f>IFERROR(G12*0.9,"—")</f>
        <v/>
      </c>
      <c r="K26" s="26">
        <f>IFERROR(IF(G12&gt;CBNRates!C19,"Real +ve","Real -ve"),"—")</f>
        <v/>
      </c>
      <c r="L26" s="2" t="n"/>
    </row>
    <row r="27" ht="16" customHeight="1" s="108">
      <c r="A27" s="2" t="n"/>
      <c r="B27" s="38">
        <f>B13</f>
        <v/>
      </c>
      <c r="C27" s="39">
        <f>IFERROR(YEARFRAC(TODAY(),E13,1),"—")</f>
        <v/>
      </c>
      <c r="D27" s="40">
        <f>IFERROR(DURATION(TODAY(),E13,C13,G13,2,1),"—")</f>
        <v/>
      </c>
      <c r="E27" s="40">
        <f>IFERROR(C27*(C27+1)/((1+G13/2)^2),"—")</f>
        <v/>
      </c>
      <c r="F27" s="40">
        <f>IFERROR(PRICE(TODAY(),E13,C13,G13,100,2,1),"—")</f>
        <v/>
      </c>
      <c r="G27" s="31">
        <f>IFERROR((G13-CBNRates!C13)*10000,"—")</f>
        <v/>
      </c>
      <c r="H27" s="31">
        <f>IFERROR((G13-CBNRates!C13)*10000,"—")</f>
        <v/>
      </c>
      <c r="I27" s="30">
        <f>IFERROR(G13-CBNRates!C19,"—")</f>
        <v/>
      </c>
      <c r="J27" s="30">
        <f>IFERROR(G13*0.9,"—")</f>
        <v/>
      </c>
      <c r="K27" s="122">
        <f>IFERROR(IF(G13&gt;CBNRates!C19,"Real +ve","Real -ve"),"—")</f>
        <v/>
      </c>
      <c r="L27" s="2" t="n"/>
    </row>
    <row r="28" ht="16" customHeight="1" s="108">
      <c r="A28" s="2" t="n"/>
      <c r="B28" s="29">
        <f>B14</f>
        <v/>
      </c>
      <c r="C28" s="41">
        <f>IFERROR(YEARFRAC(TODAY(),E14,1),"—")</f>
        <v/>
      </c>
      <c r="D28" s="42">
        <f>IFERROR(DURATION(TODAY(),E14,C14,G14,2,1),"—")</f>
        <v/>
      </c>
      <c r="E28" s="42">
        <f>IFERROR(C28*(C28+1)/((1+G14/2)^2),"—")</f>
        <v/>
      </c>
      <c r="F28" s="42">
        <f>IFERROR(PRICE(TODAY(),E14,C14,G14,100,2,1),"—")</f>
        <v/>
      </c>
      <c r="G28" s="23">
        <f>IFERROR((G14-CBNRates!C13)*10000,"—")</f>
        <v/>
      </c>
      <c r="H28" s="23">
        <f>IFERROR((G14-CBNRates!C13)*10000,"—")</f>
        <v/>
      </c>
      <c r="I28" s="32">
        <f>IFERROR(G14-CBNRates!C19,"—")</f>
        <v/>
      </c>
      <c r="J28" s="32">
        <f>IFERROR(G14*0.9,"—")</f>
        <v/>
      </c>
      <c r="K28" s="26">
        <f>IFERROR(IF(G14&gt;CBNRates!C19,"Real +ve","Real -ve"),"—")</f>
        <v/>
      </c>
      <c r="L28" s="2" t="n"/>
    </row>
    <row r="29" ht="16" customHeight="1" s="108">
      <c r="A29" s="2" t="n"/>
      <c r="B29" s="38">
        <f>B15</f>
        <v/>
      </c>
      <c r="C29" s="39">
        <f>IFERROR(YEARFRAC(TODAY(),E15,1),"—")</f>
        <v/>
      </c>
      <c r="D29" s="40">
        <f>IFERROR(DURATION(TODAY(),E15,C15,G15,2,1),"—")</f>
        <v/>
      </c>
      <c r="E29" s="40">
        <f>IFERROR(C29*(C29+1)/((1+G15/2)^2),"—")</f>
        <v/>
      </c>
      <c r="F29" s="40">
        <f>IFERROR(PRICE(TODAY(),E15,C15,G15,100,2,1),"—")</f>
        <v/>
      </c>
      <c r="G29" s="31">
        <f>IFERROR((G15-CBNRates!C13)*10000,"—")</f>
        <v/>
      </c>
      <c r="H29" s="31">
        <f>IFERROR((G15-CBNRates!C13)*10000,"—")</f>
        <v/>
      </c>
      <c r="I29" s="30">
        <f>IFERROR(G15-CBNRates!C19,"—")</f>
        <v/>
      </c>
      <c r="J29" s="30">
        <f>IFERROR(G15*0.9,"—")</f>
        <v/>
      </c>
      <c r="K29" s="122">
        <f>IFERROR(IF(G15&gt;CBNRates!C19,"Real +ve","Real -ve"),"—")</f>
        <v/>
      </c>
      <c r="L29" s="2" t="n"/>
    </row>
    <row r="30" ht="16" customHeight="1" s="108">
      <c r="A30" s="2" t="n"/>
      <c r="B30" s="29">
        <f>B16</f>
        <v/>
      </c>
      <c r="C30" s="41">
        <f>IFERROR(YEARFRAC(TODAY(),E16,1),"—")</f>
        <v/>
      </c>
      <c r="D30" s="42">
        <f>IFERROR(DURATION(TODAY(),E16,C16,G16,2,1),"—")</f>
        <v/>
      </c>
      <c r="E30" s="42">
        <f>IFERROR(C30*(C30+1)/((1+G16/2)^2),"—")</f>
        <v/>
      </c>
      <c r="F30" s="42">
        <f>IFERROR(PRICE(TODAY(),E16,C16,G16,100,2,1),"—")</f>
        <v/>
      </c>
      <c r="G30" s="23">
        <f>IFERROR((G16-CBNRates!C13)*10000,"—")</f>
        <v/>
      </c>
      <c r="H30" s="23">
        <f>IFERROR((G16-CBNRates!C13)*10000,"—")</f>
        <v/>
      </c>
      <c r="I30" s="32">
        <f>IFERROR(G16-CBNRates!C19,"—")</f>
        <v/>
      </c>
      <c r="J30" s="32">
        <f>IFERROR(G16*0.9,"—")</f>
        <v/>
      </c>
      <c r="K30" s="26">
        <f>IFERROR(IF(G16&gt;CBNRates!C19,"Real +ve","Real -ve"),"—")</f>
        <v/>
      </c>
      <c r="L30" s="2" t="n"/>
    </row>
    <row r="31" ht="16" customHeight="1" s="108">
      <c r="A31" s="2" t="n"/>
      <c r="B31" s="38">
        <f>B17</f>
        <v/>
      </c>
      <c r="C31" s="39">
        <f>IFERROR(YEARFRAC(TODAY(),E17,1),"—")</f>
        <v/>
      </c>
      <c r="D31" s="40">
        <f>IFERROR(DURATION(TODAY(),E17,C17,G17,2,1),"—")</f>
        <v/>
      </c>
      <c r="E31" s="40">
        <f>IFERROR(C31*(C31+1)/((1+G17/2)^2),"—")</f>
        <v/>
      </c>
      <c r="F31" s="40">
        <f>IFERROR(PRICE(TODAY(),E17,C17,G17,100,2,1),"—")</f>
        <v/>
      </c>
      <c r="G31" s="31">
        <f>IFERROR((G17-CBNRates!C13)*10000,"—")</f>
        <v/>
      </c>
      <c r="H31" s="31">
        <f>IFERROR((G17-CBNRates!C13)*10000,"—")</f>
        <v/>
      </c>
      <c r="I31" s="30">
        <f>IFERROR(G17-CBNRates!C19,"—")</f>
        <v/>
      </c>
      <c r="J31" s="30">
        <f>IFERROR(G17*0.9,"—")</f>
        <v/>
      </c>
      <c r="K31" s="122">
        <f>IFERROR(IF(G17&gt;CBNRates!C19,"Real +ve","Real -ve"),"—")</f>
        <v/>
      </c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</sheetData>
  <mergeCells count="4">
    <mergeCell ref="B19:K19"/>
    <mergeCell ref="B3:K3"/>
    <mergeCell ref="B5:K5"/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A6B35"/>
    <outlinePr summaryBelow="1" summaryRight="1"/>
    <pageSetUpPr/>
  </sheetPr>
  <dimension ref="A1:M80"/>
  <sheetViews>
    <sheetView showGridLines="0" zoomScale="90" workbookViewId="0">
      <selection activeCell="A1" sqref="A1"/>
    </sheetView>
  </sheetViews>
  <sheetFormatPr baseColWidth="10" defaultColWidth="8.83203125" defaultRowHeight="15"/>
  <cols>
    <col width="1.5" customWidth="1" style="108" min="1" max="1"/>
    <col width="26" customWidth="1" style="108" min="2" max="2"/>
    <col width="12" customWidth="1" style="108" min="3" max="12"/>
    <col width="1.5" customWidth="1" style="108" min="13" max="13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 s="108">
      <c r="A2" s="2" t="n"/>
      <c r="B2" s="109" t="inlineStr">
        <is>
          <t>CORPORATE  BOND  TRACKER  —  FMDQ &amp; NGX Listed</t>
        </is>
      </c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2" t="n"/>
    </row>
    <row r="3" ht="14" customHeight="1" s="108">
      <c r="A3" s="2" t="n"/>
      <c r="B3" s="107" t="inlineStr">
        <is>
          <t>Source: FMDQ Listings page (fmdqgroup.com/category/listings-and-quotations)  ·  NGX Bond Board  ·  Blue cells = manual input.</t>
        </is>
      </c>
      <c r="M3" s="2" t="n"/>
    </row>
    <row r="4">
      <c r="A4" s="2" t="n"/>
      <c r="B4" s="70">
        <f>COUNTA(B7:B24)-COUNTBLANK(B7:B24)</f>
        <v/>
      </c>
      <c r="C4" s="65">
        <f>IFERROR(AVERAGEIF(K7:K24,"&gt;0",K7:K24),0)</f>
        <v/>
      </c>
      <c r="D4" s="66">
        <f>IFERROR(SUM(I7:I24),0)</f>
        <v/>
      </c>
      <c r="E4" s="67">
        <f>IFERROR(_xludf.MINIFS(E7:E24,E7:E24,"&gt;"&amp;TODAY()),"—")</f>
        <v/>
      </c>
      <c r="F4" s="2" t="n"/>
      <c r="G4" s="2" t="n"/>
      <c r="H4" s="2" t="n"/>
      <c r="I4" s="2" t="n"/>
      <c r="J4" s="2" t="n"/>
      <c r="K4" s="2" t="n"/>
      <c r="L4" s="2" t="n"/>
      <c r="M4" s="2" t="n"/>
    </row>
    <row r="5" ht="16" customHeight="1" s="108">
      <c r="A5" s="2" t="n"/>
      <c r="B5" s="105" t="inlineStr">
        <is>
          <t>ACTIVE CORPORATE BONDS  —  Update from FMDQ portal after each new listing</t>
        </is>
      </c>
      <c r="C5" s="106" t="n"/>
      <c r="D5" s="106" t="n"/>
      <c r="E5" s="106" t="n"/>
      <c r="F5" s="106" t="n"/>
      <c r="G5" s="106" t="n"/>
      <c r="H5" s="106" t="n"/>
      <c r="I5" s="106" t="n"/>
      <c r="J5" s="106" t="n"/>
      <c r="K5" s="106" t="n"/>
      <c r="L5" s="106" t="n"/>
      <c r="M5" s="2" t="n"/>
    </row>
    <row r="6" ht="13" customHeight="1" s="108">
      <c r="A6" s="2" t="n"/>
      <c r="B6" s="10" t="inlineStr">
        <is>
          <t>Issuer / Bond Name</t>
        </is>
      </c>
      <c r="C6" s="10" t="inlineStr">
        <is>
          <t>Sector</t>
        </is>
      </c>
      <c r="D6" s="10" t="inlineStr">
        <is>
          <t>Issue Date</t>
        </is>
      </c>
      <c r="E6" s="10" t="inlineStr">
        <is>
          <t>Maturity</t>
        </is>
      </c>
      <c r="F6" s="10" t="inlineStr">
        <is>
          <t>Coupon %</t>
        </is>
      </c>
      <c r="G6" s="10" t="inlineStr">
        <is>
          <t>Rating</t>
        </is>
      </c>
      <c r="H6" s="10" t="inlineStr">
        <is>
          <t>Prog. Size  ₦B</t>
        </is>
      </c>
      <c r="I6" s="10" t="inlineStr">
        <is>
          <t>Amount Raised  ₦B</t>
        </is>
      </c>
      <c r="J6" s="10" t="inlineStr">
        <is>
          <t>Listed On</t>
        </is>
      </c>
      <c r="K6" s="10" t="inlineStr">
        <is>
          <t>Current YTM %</t>
        </is>
      </c>
      <c r="L6" s="10" t="inlineStr">
        <is>
          <t>Spread vs FGN 10Y  bps</t>
        </is>
      </c>
      <c r="M6" s="2" t="n"/>
    </row>
    <row r="7" ht="16" customHeight="1" s="108">
      <c r="A7" s="2" t="n"/>
      <c r="B7" s="4" t="inlineStr">
        <is>
          <t xml:space="preserve">  Eat &amp; Go Finance SPV  Ser.1</t>
        </is>
      </c>
      <c r="C7" s="12" t="inlineStr">
        <is>
          <t>Consumer</t>
        </is>
      </c>
      <c r="D7" s="36" t="n">
        <v>45323</v>
      </c>
      <c r="E7" s="36" t="n">
        <v>46419</v>
      </c>
      <c r="F7" s="12" t="inlineStr">
        <is>
          <t>18.00%</t>
        </is>
      </c>
      <c r="G7" s="12" t="inlineStr">
        <is>
          <t>BBB-</t>
        </is>
      </c>
      <c r="H7" s="37" t="n">
        <v>5</v>
      </c>
      <c r="I7" s="37" t="n">
        <v>1.2</v>
      </c>
      <c r="J7" s="12" t="inlineStr">
        <is>
          <t>FMDQ</t>
        </is>
      </c>
      <c r="K7" s="33" t="n">
        <v>0.185</v>
      </c>
      <c r="L7" s="31">
        <f>IFERROR(IF(K7="","—",(K7-CBNRates!C13)*10000),"—")</f>
        <v/>
      </c>
      <c r="M7" s="2" t="n"/>
    </row>
    <row r="8" ht="16" customHeight="1" s="108">
      <c r="A8" s="2" t="n"/>
      <c r="B8" s="118" t="inlineStr">
        <is>
          <t xml:space="preserve">  Mixta Real Estate  Ser.3</t>
        </is>
      </c>
      <c r="C8" s="12" t="inlineStr">
        <is>
          <t>Real Estate</t>
        </is>
      </c>
      <c r="D8" s="36" t="n">
        <v>45092</v>
      </c>
      <c r="E8" s="36" t="n">
        <v>46188</v>
      </c>
      <c r="F8" s="12" t="inlineStr">
        <is>
          <t>18.50%</t>
        </is>
      </c>
      <c r="G8" s="12" t="inlineStr">
        <is>
          <t>BBB-</t>
        </is>
      </c>
      <c r="H8" s="37" t="n">
        <v>10</v>
      </c>
      <c r="I8" s="37" t="n">
        <v>8.5</v>
      </c>
      <c r="J8" s="12" t="inlineStr">
        <is>
          <t>FMDQ</t>
        </is>
      </c>
      <c r="K8" s="33" t="inlineStr">
        <is>
          <t>—</t>
        </is>
      </c>
      <c r="L8" s="23">
        <f>IFERROR(IF(K8="","—",(K8-CBNRates!C13)*10000),"—")</f>
        <v/>
      </c>
      <c r="M8" s="2" t="n"/>
    </row>
    <row r="9" ht="16" customHeight="1" s="108">
      <c r="A9" s="2" t="n"/>
      <c r="B9" s="4" t="inlineStr">
        <is>
          <t xml:space="preserve">  Coronation Merchant Bank  Bond</t>
        </is>
      </c>
      <c r="C9" s="12" t="inlineStr">
        <is>
          <t>Banking</t>
        </is>
      </c>
      <c r="D9" s="36" t="n">
        <v>45536</v>
      </c>
      <c r="E9" s="36" t="n">
        <v>46631</v>
      </c>
      <c r="F9" s="12" t="inlineStr">
        <is>
          <t>20.00%</t>
        </is>
      </c>
      <c r="G9" s="12" t="inlineStr">
        <is>
          <t>A-</t>
        </is>
      </c>
      <c r="H9" s="37" t="n">
        <v>30</v>
      </c>
      <c r="I9" s="37" t="n">
        <v>30</v>
      </c>
      <c r="J9" s="12" t="inlineStr">
        <is>
          <t>FMDQ</t>
        </is>
      </c>
      <c r="K9" s="33" t="n">
        <v>0.198</v>
      </c>
      <c r="L9" s="31">
        <f>IFERROR(IF(K9="","—",(K9-CBNRates!C13)*10000),"—")</f>
        <v/>
      </c>
      <c r="M9" s="2" t="n"/>
    </row>
    <row r="10" ht="16" customHeight="1" s="108">
      <c r="A10" s="2" t="n"/>
      <c r="B10" s="118" t="inlineStr">
        <is>
          <t xml:space="preserve">  LAPO Microfinance Bank  Bond</t>
        </is>
      </c>
      <c r="C10" s="12" t="inlineStr">
        <is>
          <t>Finance</t>
        </is>
      </c>
      <c r="D10" s="36" t="n">
        <v>45352</v>
      </c>
      <c r="E10" s="36" t="n">
        <v>46447</v>
      </c>
      <c r="F10" s="12" t="inlineStr">
        <is>
          <t>19.50%</t>
        </is>
      </c>
      <c r="G10" s="12" t="inlineStr">
        <is>
          <t>BB+</t>
        </is>
      </c>
      <c r="H10" s="37" t="n">
        <v>5</v>
      </c>
      <c r="I10" s="37" t="n">
        <v>5</v>
      </c>
      <c r="J10" s="12" t="inlineStr">
        <is>
          <t>FMDQ</t>
        </is>
      </c>
      <c r="K10" s="33" t="n">
        <v>0.195</v>
      </c>
      <c r="L10" s="23">
        <f>IFERROR(IF(K10="","—",(K10-CBNRates!C13)*10000),"—")</f>
        <v/>
      </c>
      <c r="M10" s="2" t="n"/>
    </row>
    <row r="11" ht="16" customHeight="1" s="108">
      <c r="A11" s="2" t="n"/>
      <c r="B11" s="4" t="inlineStr">
        <is>
          <t xml:space="preserve">  FBN Finance  Sub-Bond</t>
        </is>
      </c>
      <c r="C11" s="12" t="inlineStr">
        <is>
          <t>Banking</t>
        </is>
      </c>
      <c r="D11" s="36" t="n">
        <v>44501</v>
      </c>
      <c r="E11" s="36" t="n">
        <v>48153</v>
      </c>
      <c r="F11" s="12" t="inlineStr">
        <is>
          <t>9.75% USD</t>
        </is>
      </c>
      <c r="G11" s="12" t="inlineStr">
        <is>
          <t>—</t>
        </is>
      </c>
      <c r="H11" s="37" t="inlineStr">
        <is>
          <t>300M USD</t>
        </is>
      </c>
      <c r="I11" s="37" t="inlineStr">
        <is>
          <t>300M USD</t>
        </is>
      </c>
      <c r="J11" s="12" t="inlineStr">
        <is>
          <t>FMDQ</t>
        </is>
      </c>
      <c r="K11" s="33" t="inlineStr">
        <is>
          <t>—</t>
        </is>
      </c>
      <c r="L11" s="31">
        <f>IFERROR(IF(K11="","—",(K11-CBNRates!C13)*10000),"—")</f>
        <v/>
      </c>
      <c r="M11" s="2" t="n"/>
    </row>
    <row r="12" ht="16" customHeight="1" s="108">
      <c r="A12" s="2" t="n"/>
      <c r="B12" s="118" t="inlineStr">
        <is>
          <t xml:space="preserve">  Access Bank  Holdco Bond</t>
        </is>
      </c>
      <c r="C12" s="12" t="inlineStr">
        <is>
          <t>Banking</t>
        </is>
      </c>
      <c r="D12" s="36" t="n">
        <v>45078</v>
      </c>
      <c r="E12" s="36" t="n">
        <v>47635</v>
      </c>
      <c r="F12" s="12" t="inlineStr">
        <is>
          <t>18.50%</t>
        </is>
      </c>
      <c r="G12" s="12" t="inlineStr">
        <is>
          <t>A-</t>
        </is>
      </c>
      <c r="H12" s="37" t="n">
        <v>75</v>
      </c>
      <c r="I12" s="37" t="n">
        <v>75</v>
      </c>
      <c r="J12" s="12" t="inlineStr">
        <is>
          <t>NGX</t>
        </is>
      </c>
      <c r="K12" s="33" t="n">
        <v>0.188</v>
      </c>
      <c r="L12" s="23">
        <f>IFERROR(IF(K12="","—",(K12-CBNRates!C13)*10000),"—")</f>
        <v/>
      </c>
      <c r="M12" s="2" t="n"/>
    </row>
    <row r="13" ht="16" customHeight="1" s="108">
      <c r="A13" s="2" t="n"/>
      <c r="B13" s="4" t="inlineStr">
        <is>
          <t xml:space="preserve">  UBA  Sub-Debt Bond</t>
        </is>
      </c>
      <c r="C13" s="12" t="inlineStr">
        <is>
          <t>Banking</t>
        </is>
      </c>
      <c r="D13" s="36" t="n">
        <v>45170</v>
      </c>
      <c r="E13" s="36" t="n">
        <v>48823</v>
      </c>
      <c r="F13" s="12" t="inlineStr">
        <is>
          <t>15.75% USD</t>
        </is>
      </c>
      <c r="G13" s="12" t="inlineStr">
        <is>
          <t>BB</t>
        </is>
      </c>
      <c r="H13" s="37" t="inlineStr">
        <is>
          <t>500M USD</t>
        </is>
      </c>
      <c r="I13" s="37" t="inlineStr">
        <is>
          <t>500M USD</t>
        </is>
      </c>
      <c r="J13" s="12" t="inlineStr">
        <is>
          <t>FMDQ</t>
        </is>
      </c>
      <c r="K13" s="33" t="inlineStr">
        <is>
          <t>—</t>
        </is>
      </c>
      <c r="L13" s="31">
        <f>IFERROR(IF(K13="","—",(K13-CBNRates!C13)*10000),"—")</f>
        <v/>
      </c>
      <c r="M13" s="2" t="n"/>
    </row>
    <row r="14" ht="16" customHeight="1" s="108">
      <c r="A14" s="2" t="n"/>
      <c r="B14" s="43" t="n"/>
      <c r="C14" s="44" t="n"/>
      <c r="D14" s="45" t="n"/>
      <c r="E14" s="45" t="n"/>
      <c r="F14" s="44" t="n"/>
      <c r="G14" s="44" t="n"/>
      <c r="H14" s="46" t="n"/>
      <c r="I14" s="46" t="n"/>
      <c r="J14" s="44" t="n"/>
      <c r="K14" s="47" t="n"/>
      <c r="L14" s="31">
        <f>IFERROR(IF(K14="","—",(K14-CBNRates!C13)*10000),"—")</f>
        <v/>
      </c>
      <c r="M14" s="2" t="n"/>
    </row>
    <row r="15" ht="16" customHeight="1" s="108">
      <c r="A15" s="2" t="n"/>
      <c r="B15" s="7" t="n"/>
      <c r="C15" s="44" t="n"/>
      <c r="D15" s="45" t="n"/>
      <c r="E15" s="45" t="n"/>
      <c r="F15" s="44" t="n"/>
      <c r="G15" s="44" t="n"/>
      <c r="H15" s="46" t="n"/>
      <c r="I15" s="46" t="n"/>
      <c r="J15" s="44" t="n"/>
      <c r="K15" s="47" t="n"/>
      <c r="L15" s="23">
        <f>IFERROR(IF(K15="","—",(K15-CBNRates!C13)*10000),"—")</f>
        <v/>
      </c>
      <c r="M15" s="2" t="n"/>
    </row>
    <row r="16" ht="16" customHeight="1" s="108">
      <c r="A16" s="2" t="n"/>
      <c r="B16" s="43" t="n"/>
      <c r="C16" s="44" t="n"/>
      <c r="D16" s="45" t="n"/>
      <c r="E16" s="45" t="n"/>
      <c r="F16" s="44" t="n"/>
      <c r="G16" s="44" t="n"/>
      <c r="H16" s="46" t="n"/>
      <c r="I16" s="46" t="n"/>
      <c r="J16" s="44" t="n"/>
      <c r="K16" s="47" t="n"/>
      <c r="L16" s="31">
        <f>IFERROR(IF(K16="","—",(K16-CBNRates!C13)*10000),"—")</f>
        <v/>
      </c>
      <c r="M16" s="2" t="n"/>
    </row>
    <row r="17" ht="16" customHeight="1" s="108">
      <c r="A17" s="2" t="n"/>
      <c r="B17" s="7" t="n"/>
      <c r="C17" s="44" t="n"/>
      <c r="D17" s="45" t="n"/>
      <c r="E17" s="45" t="n"/>
      <c r="F17" s="44" t="n"/>
      <c r="G17" s="44" t="n"/>
      <c r="H17" s="46" t="n"/>
      <c r="I17" s="46" t="n"/>
      <c r="J17" s="44" t="n"/>
      <c r="K17" s="47" t="n"/>
      <c r="L17" s="23">
        <f>IFERROR(IF(K17="","—",(K17-CBNRates!C13)*10000),"—")</f>
        <v/>
      </c>
      <c r="M17" s="2" t="n"/>
    </row>
    <row r="18" ht="16" customHeight="1" s="108">
      <c r="A18" s="2" t="n"/>
      <c r="B18" s="43" t="n"/>
      <c r="C18" s="44" t="n"/>
      <c r="D18" s="45" t="n"/>
      <c r="E18" s="45" t="n"/>
      <c r="F18" s="44" t="n"/>
      <c r="G18" s="44" t="n"/>
      <c r="H18" s="46" t="n"/>
      <c r="I18" s="46" t="n"/>
      <c r="J18" s="44" t="n"/>
      <c r="K18" s="47" t="n"/>
      <c r="L18" s="31">
        <f>IFERROR(IF(K18="","—",(K18-CBNRates!C13)*10000),"—")</f>
        <v/>
      </c>
      <c r="M18" s="2" t="n"/>
    </row>
    <row r="19" ht="16" customHeight="1" s="108">
      <c r="A19" s="2" t="n"/>
      <c r="B19" s="7" t="n"/>
      <c r="C19" s="44" t="n"/>
      <c r="D19" s="45" t="n"/>
      <c r="E19" s="45" t="n"/>
      <c r="F19" s="44" t="n"/>
      <c r="G19" s="44" t="n"/>
      <c r="H19" s="46" t="n"/>
      <c r="I19" s="46" t="n"/>
      <c r="J19" s="44" t="n"/>
      <c r="K19" s="47" t="n"/>
      <c r="L19" s="23">
        <f>IFERROR(IF(K19="","—",(K19-CBNRates!C13)*10000),"—")</f>
        <v/>
      </c>
      <c r="M19" s="2" t="n"/>
    </row>
    <row r="20" ht="16" customHeight="1" s="108">
      <c r="A20" s="2" t="n"/>
      <c r="B20" s="43" t="n"/>
      <c r="C20" s="44" t="n"/>
      <c r="D20" s="45" t="n"/>
      <c r="E20" s="45" t="n"/>
      <c r="F20" s="44" t="n"/>
      <c r="G20" s="44" t="n"/>
      <c r="H20" s="46" t="n"/>
      <c r="I20" s="46" t="n"/>
      <c r="J20" s="44" t="n"/>
      <c r="K20" s="47" t="n"/>
      <c r="L20" s="31">
        <f>IFERROR(IF(K20="","—",(K20-CBNRates!C13)*10000),"—")</f>
        <v/>
      </c>
      <c r="M20" s="2" t="n"/>
    </row>
    <row r="21" ht="16" customHeight="1" s="108">
      <c r="A21" s="2" t="n"/>
      <c r="B21" s="7" t="n"/>
      <c r="C21" s="44" t="n"/>
      <c r="D21" s="45" t="n"/>
      <c r="E21" s="45" t="n"/>
      <c r="F21" s="44" t="n"/>
      <c r="G21" s="44" t="n"/>
      <c r="H21" s="46" t="n"/>
      <c r="I21" s="46" t="n"/>
      <c r="J21" s="44" t="n"/>
      <c r="K21" s="47" t="n"/>
      <c r="L21" s="23">
        <f>IFERROR(IF(K21="","—",(K21-CBNRates!C13)*10000),"—")</f>
        <v/>
      </c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6" customHeight="1" s="108">
      <c r="A23" s="2" t="n"/>
      <c r="B23" s="105" t="inlineStr">
        <is>
          <t>CORPORATE BOND SCREENING  —  Is the spread worth the credit risk?</t>
        </is>
      </c>
      <c r="C23" s="106" t="n"/>
      <c r="D23" s="106" t="n"/>
      <c r="E23" s="106" t="n"/>
      <c r="F23" s="106" t="n"/>
      <c r="G23" s="106" t="n"/>
      <c r="H23" s="106" t="n"/>
      <c r="I23" s="106" t="n"/>
      <c r="J23" s="106" t="n"/>
      <c r="K23" s="106" t="n"/>
      <c r="L23" s="106" t="n"/>
      <c r="M23" s="2" t="n"/>
    </row>
    <row r="24" ht="13" customHeight="1" s="108">
      <c r="A24" s="2" t="n"/>
      <c r="B24" s="10" t="inlineStr">
        <is>
          <t>Issuer</t>
        </is>
      </c>
      <c r="C24" s="10" t="inlineStr">
        <is>
          <t>Coupon %</t>
        </is>
      </c>
      <c r="D24" s="10" t="inlineStr">
        <is>
          <t>Maturity</t>
        </is>
      </c>
      <c r="E24" s="10" t="inlineStr">
        <is>
          <t>Rating</t>
        </is>
      </c>
      <c r="F24" s="10" t="inlineStr">
        <is>
          <t>Spread vs FGN  bps</t>
        </is>
      </c>
      <c r="G24" s="10" t="inlineStr">
        <is>
          <t>Spread vs T-Bill  bps</t>
        </is>
      </c>
      <c r="H24" s="10" t="inlineStr">
        <is>
          <t>Real Yield %</t>
        </is>
      </c>
      <c r="I24" s="10" t="inlineStr">
        <is>
          <t>WHT Net %</t>
        </is>
      </c>
      <c r="J24" s="10" t="inlineStr">
        <is>
          <t>Duration (yrs)</t>
        </is>
      </c>
      <c r="K24" s="10" t="inlineStr">
        <is>
          <t>Risk-Adj Score</t>
        </is>
      </c>
      <c r="L24" s="10" t="inlineStr">
        <is>
          <t>Notes</t>
        </is>
      </c>
      <c r="M24" s="2" t="n"/>
    </row>
    <row r="25" ht="16" customHeight="1" s="108">
      <c r="A25" s="2" t="n"/>
      <c r="B25" s="38">
        <f>B7</f>
        <v/>
      </c>
      <c r="C25" s="30">
        <f>F7</f>
        <v/>
      </c>
      <c r="D25" s="48">
        <f>E7</f>
        <v/>
      </c>
      <c r="E25" s="38">
        <f>G7</f>
        <v/>
      </c>
      <c r="F25" s="31">
        <f>IFERROR(IF(K7="","—",(K7-CBNRates!C13)*10000),"—")</f>
        <v/>
      </c>
      <c r="G25" s="31">
        <f>IFERROR(IF(K7="","—",(K7-CBNRates!C8)*10000),"—")</f>
        <v/>
      </c>
      <c r="H25" s="30">
        <f>IFERROR(IF(K7="","—",K7-CBNRates!C19),"—")</f>
        <v/>
      </c>
      <c r="I25" s="30">
        <f>IFERROR(IF(K7="","—",K7*0.9),"—")</f>
        <v/>
      </c>
      <c r="J25" s="40">
        <f>IFERROR(DURATION(TODAY(),E7,F7,K7,2,1),"—")</f>
        <v/>
      </c>
      <c r="K25" s="39">
        <f>IFERROR(IF(OR(K7="",J25=""),"—",(K7-CBNRates!C13)/J25*10000),"—")</f>
        <v/>
      </c>
      <c r="L25" s="43" t="n"/>
      <c r="M25" s="2" t="n"/>
    </row>
    <row r="26" ht="16" customHeight="1" s="108">
      <c r="A26" s="2" t="n"/>
      <c r="B26" s="29">
        <f>B8</f>
        <v/>
      </c>
      <c r="C26" s="32">
        <f>F8</f>
        <v/>
      </c>
      <c r="D26" s="49">
        <f>E8</f>
        <v/>
      </c>
      <c r="E26" s="29">
        <f>G8</f>
        <v/>
      </c>
      <c r="F26" s="23">
        <f>IFERROR(IF(K8="","—",(K8-CBNRates!C13)*10000),"—")</f>
        <v/>
      </c>
      <c r="G26" s="23">
        <f>IFERROR(IF(K8="","—",(K8-CBNRates!C8)*10000),"—")</f>
        <v/>
      </c>
      <c r="H26" s="32">
        <f>IFERROR(IF(K8="","—",K8-CBNRates!C19),"—")</f>
        <v/>
      </c>
      <c r="I26" s="32">
        <f>IFERROR(IF(K8="","—",K8*0.9),"—")</f>
        <v/>
      </c>
      <c r="J26" s="42">
        <f>IFERROR(DURATION(TODAY(),E8,F8,K8,2,1),"—")</f>
        <v/>
      </c>
      <c r="K26" s="41">
        <f>IFERROR(IF(OR(K8="",J26=""),"—",(K8-CBNRates!C13)/J26*10000),"—")</f>
        <v/>
      </c>
      <c r="L26" s="7" t="n"/>
      <c r="M26" s="2" t="n"/>
    </row>
    <row r="27" ht="16" customHeight="1" s="108">
      <c r="A27" s="2" t="n"/>
      <c r="B27" s="38">
        <f>B9</f>
        <v/>
      </c>
      <c r="C27" s="30">
        <f>F9</f>
        <v/>
      </c>
      <c r="D27" s="48">
        <f>E9</f>
        <v/>
      </c>
      <c r="E27" s="38">
        <f>G9</f>
        <v/>
      </c>
      <c r="F27" s="31">
        <f>IFERROR(IF(K9="","—",(K9-CBNRates!C13)*10000),"—")</f>
        <v/>
      </c>
      <c r="G27" s="31">
        <f>IFERROR(IF(K9="","—",(K9-CBNRates!C8)*10000),"—")</f>
        <v/>
      </c>
      <c r="H27" s="30">
        <f>IFERROR(IF(K9="","—",K9-CBNRates!C19),"—")</f>
        <v/>
      </c>
      <c r="I27" s="30">
        <f>IFERROR(IF(K9="","—",K9*0.9),"—")</f>
        <v/>
      </c>
      <c r="J27" s="40">
        <f>IFERROR(DURATION(TODAY(),E9,F9,K9,2,1),"—")</f>
        <v/>
      </c>
      <c r="K27" s="39">
        <f>IFERROR(IF(OR(K9="",J27=""),"—",(K9-CBNRates!C13)/J27*10000),"—")</f>
        <v/>
      </c>
      <c r="L27" s="43" t="n"/>
      <c r="M27" s="2" t="n"/>
    </row>
    <row r="28" ht="16" customHeight="1" s="108">
      <c r="A28" s="2" t="n"/>
      <c r="B28" s="29">
        <f>B10</f>
        <v/>
      </c>
      <c r="C28" s="32">
        <f>F10</f>
        <v/>
      </c>
      <c r="D28" s="49">
        <f>E10</f>
        <v/>
      </c>
      <c r="E28" s="29">
        <f>G10</f>
        <v/>
      </c>
      <c r="F28" s="23">
        <f>IFERROR(IF(K10="","—",(K10-CBNRates!C13)*10000),"—")</f>
        <v/>
      </c>
      <c r="G28" s="23">
        <f>IFERROR(IF(K10="","—",(K10-CBNRates!C8)*10000),"—")</f>
        <v/>
      </c>
      <c r="H28" s="32">
        <f>IFERROR(IF(K10="","—",K10-CBNRates!C19),"—")</f>
        <v/>
      </c>
      <c r="I28" s="32">
        <f>IFERROR(IF(K10="","—",K10*0.9),"—")</f>
        <v/>
      </c>
      <c r="J28" s="42">
        <f>IFERROR(DURATION(TODAY(),E10,F10,K10,2,1),"—")</f>
        <v/>
      </c>
      <c r="K28" s="41">
        <f>IFERROR(IF(OR(K10="",J28=""),"—",(K10-CBNRates!C13)/J28*10000),"—")</f>
        <v/>
      </c>
      <c r="L28" s="7" t="n"/>
      <c r="M28" s="2" t="n"/>
    </row>
    <row r="29" ht="16" customHeight="1" s="108">
      <c r="A29" s="2" t="n"/>
      <c r="B29" s="38">
        <f>B11</f>
        <v/>
      </c>
      <c r="C29" s="30">
        <f>F11</f>
        <v/>
      </c>
      <c r="D29" s="48">
        <f>E11</f>
        <v/>
      </c>
      <c r="E29" s="38">
        <f>G11</f>
        <v/>
      </c>
      <c r="F29" s="31">
        <f>IFERROR(IF(K11="","—",(K11-CBNRates!C13)*10000),"—")</f>
        <v/>
      </c>
      <c r="G29" s="31">
        <f>IFERROR(IF(K11="","—",(K11-CBNRates!C8)*10000),"—")</f>
        <v/>
      </c>
      <c r="H29" s="30">
        <f>IFERROR(IF(K11="","—",K11-CBNRates!C19),"—")</f>
        <v/>
      </c>
      <c r="I29" s="30">
        <f>IFERROR(IF(K11="","—",K11*0.9),"—")</f>
        <v/>
      </c>
      <c r="J29" s="40">
        <f>IFERROR(DURATION(TODAY(),E11,F11,K11,2,1),"—")</f>
        <v/>
      </c>
      <c r="K29" s="39">
        <f>IFERROR(IF(OR(K11="",J29=""),"—",(K11-CBNRates!C13)/J29*10000),"—")</f>
        <v/>
      </c>
      <c r="L29" s="43" t="n"/>
      <c r="M29" s="2" t="n"/>
    </row>
    <row r="30" ht="16" customHeight="1" s="108">
      <c r="A30" s="2" t="n"/>
      <c r="B30" s="29">
        <f>B12</f>
        <v/>
      </c>
      <c r="C30" s="32">
        <f>F12</f>
        <v/>
      </c>
      <c r="D30" s="49">
        <f>E12</f>
        <v/>
      </c>
      <c r="E30" s="29">
        <f>G12</f>
        <v/>
      </c>
      <c r="F30" s="23">
        <f>IFERROR(IF(K12="","—",(K12-CBNRates!C13)*10000),"—")</f>
        <v/>
      </c>
      <c r="G30" s="23">
        <f>IFERROR(IF(K12="","—",(K12-CBNRates!C8)*10000),"—")</f>
        <v/>
      </c>
      <c r="H30" s="32">
        <f>IFERROR(IF(K12="","—",K12-CBNRates!C19),"—")</f>
        <v/>
      </c>
      <c r="I30" s="32">
        <f>IFERROR(IF(K12="","—",K12*0.9),"—")</f>
        <v/>
      </c>
      <c r="J30" s="42">
        <f>IFERROR(DURATION(TODAY(),E12,F12,K12,2,1),"—")</f>
        <v/>
      </c>
      <c r="K30" s="41">
        <f>IFERROR(IF(OR(K12="",J30=""),"—",(K12-CBNRates!C13)/J30*10000),"—")</f>
        <v/>
      </c>
      <c r="L30" s="7" t="n"/>
      <c r="M30" s="2" t="n"/>
    </row>
    <row r="31" ht="16" customHeight="1" s="108">
      <c r="A31" s="2" t="n"/>
      <c r="B31" s="38">
        <f>B13</f>
        <v/>
      </c>
      <c r="C31" s="30">
        <f>F13</f>
        <v/>
      </c>
      <c r="D31" s="48">
        <f>E13</f>
        <v/>
      </c>
      <c r="E31" s="38">
        <f>G13</f>
        <v/>
      </c>
      <c r="F31" s="31">
        <f>IFERROR(IF(K13="","—",(K13-CBNRates!C13)*10000),"—")</f>
        <v/>
      </c>
      <c r="G31" s="31">
        <f>IFERROR(IF(K13="","—",(K13-CBNRates!C8)*10000),"—")</f>
        <v/>
      </c>
      <c r="H31" s="30">
        <f>IFERROR(IF(K13="","—",K13-CBNRates!C19),"—")</f>
        <v/>
      </c>
      <c r="I31" s="30">
        <f>IFERROR(IF(K13="","—",K13*0.9),"—")</f>
        <v/>
      </c>
      <c r="J31" s="40">
        <f>IFERROR(DURATION(TODAY(),E13,F13,K13,2,1),"—")</f>
        <v/>
      </c>
      <c r="K31" s="39">
        <f>IFERROR(IF(OR(K13="",J31=""),"—",(K13-CBNRates!C13)/J31*10000),"—")</f>
        <v/>
      </c>
      <c r="L31" s="43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</sheetData>
  <mergeCells count="4">
    <mergeCell ref="B2:L2"/>
    <mergeCell ref="B5:L5"/>
    <mergeCell ref="B23:L23"/>
    <mergeCell ref="B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A6B35"/>
    <outlinePr summaryBelow="1" summaryRight="1"/>
    <pageSetUpPr/>
  </sheetPr>
  <dimension ref="A1:M80"/>
  <sheetViews>
    <sheetView showGridLines="0" topLeftCell="A15" zoomScale="90" workbookViewId="0">
      <selection activeCell="A1" sqref="A1"/>
    </sheetView>
  </sheetViews>
  <sheetFormatPr baseColWidth="10" defaultColWidth="8.83203125" defaultRowHeight="15"/>
  <cols>
    <col width="1.5" customWidth="1" style="108" min="1" max="1"/>
    <col width="24" customWidth="1" style="108" min="2" max="2"/>
    <col width="10" customWidth="1" style="108" min="3" max="11"/>
    <col width="14" customWidth="1" style="108" min="12" max="12"/>
    <col width="1.5" customWidth="1" style="108" min="13" max="13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 s="108">
      <c r="A2" s="2" t="n"/>
      <c r="B2" s="109" t="inlineStr">
        <is>
          <t>COMMERCIAL  PAPERS  TRACKER  —  FMDQ Quoted</t>
        </is>
      </c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2" t="n"/>
    </row>
    <row r="3" ht="14" customHeight="1" s="108">
      <c r="A3" s="2" t="n"/>
      <c r="B3" s="107" t="inlineStr">
        <is>
          <t>Source: FMDQ portal  ·  Avg discount rate 2025: ~22.38%  ·  WHT 10% applies from Jan 2025  ·  Blue = manual input</t>
        </is>
      </c>
      <c r="M3" s="2" t="n"/>
    </row>
    <row r="4">
      <c r="A4" s="2" t="n"/>
      <c r="B4" s="70">
        <f>COUNTA(B7:B23)-COUNTBLANK(B7:B23)</f>
        <v/>
      </c>
      <c r="C4" s="65">
        <f>IFERROR(AVERAGEIF(H7:H23,"&gt;0",H7:H23),0)</f>
        <v/>
      </c>
      <c r="D4" s="66">
        <f>IFERROR(SUM(G7:G23),0)</f>
        <v/>
      </c>
      <c r="E4" s="67">
        <f>IFERROR(_xludf.MINIFS(F7:F23,F7:F23,"&gt;"&amp;TODAY()),"—")</f>
        <v/>
      </c>
      <c r="F4" s="2" t="n"/>
      <c r="G4" s="2" t="n"/>
      <c r="H4" s="2" t="n"/>
      <c r="I4" s="2" t="n"/>
      <c r="J4" s="2" t="n"/>
      <c r="K4" s="2" t="n"/>
      <c r="L4" s="2" t="n"/>
      <c r="M4" s="2" t="n"/>
    </row>
    <row r="5" ht="16" customHeight="1" s="108">
      <c r="A5" s="2" t="n"/>
      <c r="B5" s="105" t="inlineStr">
        <is>
          <t>ACTIVE COMMERCIAL PAPERS  —  Add new CPs as they are quoted on FMDQ</t>
        </is>
      </c>
      <c r="C5" s="106" t="n"/>
      <c r="D5" s="106" t="n"/>
      <c r="E5" s="106" t="n"/>
      <c r="F5" s="106" t="n"/>
      <c r="G5" s="106" t="n"/>
      <c r="H5" s="106" t="n"/>
      <c r="I5" s="106" t="n"/>
      <c r="J5" s="106" t="n"/>
      <c r="K5" s="106" t="n"/>
      <c r="L5" s="106" t="n"/>
      <c r="M5" s="2" t="n"/>
    </row>
    <row r="6" ht="13" customHeight="1" s="108">
      <c r="A6" s="2" t="n"/>
      <c r="B6" s="10" t="inlineStr">
        <is>
          <t>Issuer / CP Name</t>
        </is>
      </c>
      <c r="C6" s="10" t="inlineStr">
        <is>
          <t>Sector</t>
        </is>
      </c>
      <c r="D6" s="10" t="inlineStr">
        <is>
          <t>Issue Date</t>
        </is>
      </c>
      <c r="E6" s="10" t="inlineStr">
        <is>
          <t>Tenor (days)</t>
        </is>
      </c>
      <c r="F6" s="10" t="inlineStr">
        <is>
          <t>Maturity Date</t>
        </is>
      </c>
      <c r="G6" s="10" t="inlineStr">
        <is>
          <t>Face Value  ₦B</t>
        </is>
      </c>
      <c r="H6" s="10" t="inlineStr">
        <is>
          <t>Gross Disc Rate %</t>
        </is>
      </c>
      <c r="I6" s="10" t="inlineStr">
        <is>
          <t>Net Rate (after WHT %)</t>
        </is>
      </c>
      <c r="J6" s="10" t="inlineStr">
        <is>
          <t>Prog Size  ₦B</t>
        </is>
      </c>
      <c r="K6" s="10" t="inlineStr">
        <is>
          <t>Rating</t>
        </is>
      </c>
      <c r="L6" s="10" t="inlineStr">
        <is>
          <t>Series</t>
        </is>
      </c>
      <c r="M6" s="2" t="n"/>
    </row>
    <row r="7" ht="16" customHeight="1" s="108">
      <c r="A7" s="2" t="n"/>
      <c r="B7" s="4" t="inlineStr">
        <is>
          <t xml:space="preserve">  Access Bank  —  CP Programme</t>
        </is>
      </c>
      <c r="C7" s="12" t="inlineStr">
        <is>
          <t>Banking</t>
        </is>
      </c>
      <c r="D7" s="36" t="n">
        <v>46054</v>
      </c>
      <c r="E7" s="50" t="n">
        <v>265</v>
      </c>
      <c r="F7" s="36" t="n">
        <v>46318</v>
      </c>
      <c r="G7" s="51" t="n">
        <v>82.81999999999999</v>
      </c>
      <c r="H7" s="33" t="n">
        <v>0.215</v>
      </c>
      <c r="I7" s="30">
        <f>IFERROR(H7*0.9,"—")</f>
        <v/>
      </c>
      <c r="J7" s="37" t="n">
        <v>300</v>
      </c>
      <c r="K7" s="12" t="inlineStr">
        <is>
          <t>A1+</t>
        </is>
      </c>
      <c r="L7" s="12" t="inlineStr">
        <is>
          <t>Ser. 5</t>
        </is>
      </c>
      <c r="M7" s="2" t="n"/>
    </row>
    <row r="8" ht="16" customHeight="1" s="108">
      <c r="A8" s="2" t="n"/>
      <c r="B8" s="118" t="inlineStr">
        <is>
          <t xml:space="preserve">  Dangote Sugar Refinery  CP</t>
        </is>
      </c>
      <c r="C8" s="12" t="inlineStr">
        <is>
          <t>Consumer</t>
        </is>
      </c>
      <c r="D8" s="36" t="n">
        <v>46037</v>
      </c>
      <c r="E8" s="50" t="n">
        <v>270</v>
      </c>
      <c r="F8" s="36" t="n">
        <v>46307</v>
      </c>
      <c r="G8" s="51" t="n">
        <v>84.01000000000001</v>
      </c>
      <c r="H8" s="33" t="n">
        <v>0.22</v>
      </c>
      <c r="I8" s="32">
        <f>IFERROR(H8*0.9,"—")</f>
        <v/>
      </c>
      <c r="J8" s="37" t="n">
        <v>100</v>
      </c>
      <c r="K8" s="12" t="inlineStr">
        <is>
          <t>A-</t>
        </is>
      </c>
      <c r="L8" s="12" t="inlineStr">
        <is>
          <t>Ser. 8</t>
        </is>
      </c>
      <c r="M8" s="2" t="n"/>
    </row>
    <row r="9" ht="16" customHeight="1" s="108">
      <c r="A9" s="2" t="n"/>
      <c r="B9" s="4" t="inlineStr">
        <is>
          <t xml:space="preserve">  Stanbic IBTC Capital  CP</t>
        </is>
      </c>
      <c r="C9" s="12" t="inlineStr">
        <is>
          <t>Banking</t>
        </is>
      </c>
      <c r="D9" s="36" t="n">
        <v>46063</v>
      </c>
      <c r="E9" s="50" t="n">
        <v>180</v>
      </c>
      <c r="F9" s="36" t="n">
        <v>46243</v>
      </c>
      <c r="G9" s="51" t="n">
        <v>25.15</v>
      </c>
      <c r="H9" s="33" t="n">
        <v>0.205</v>
      </c>
      <c r="I9" s="30">
        <f>IFERROR(H9*0.9,"—")</f>
        <v/>
      </c>
      <c r="J9" s="37" t="n">
        <v>50</v>
      </c>
      <c r="K9" s="12" t="inlineStr">
        <is>
          <t>A1+</t>
        </is>
      </c>
      <c r="L9" s="12" t="inlineStr">
        <is>
          <t>Ser. 4</t>
        </is>
      </c>
      <c r="M9" s="2" t="n"/>
    </row>
    <row r="10" ht="16" customHeight="1" s="108">
      <c r="A10" s="2" t="n"/>
      <c r="B10" s="118" t="inlineStr">
        <is>
          <t xml:space="preserve">  Citibank Nigeria  CP</t>
        </is>
      </c>
      <c r="C10" s="12" t="inlineStr">
        <is>
          <t>Banking</t>
        </is>
      </c>
      <c r="D10" s="36" t="n">
        <v>46042</v>
      </c>
      <c r="E10" s="50" t="n">
        <v>265</v>
      </c>
      <c r="F10" s="36" t="n">
        <v>46307</v>
      </c>
      <c r="G10" s="51" t="n">
        <v>46.73</v>
      </c>
      <c r="H10" s="33" t="n">
        <v>0.21</v>
      </c>
      <c r="I10" s="32">
        <f>IFERROR(H10*0.9,"—")</f>
        <v/>
      </c>
      <c r="J10" s="37" t="n">
        <v>300</v>
      </c>
      <c r="K10" s="12" t="inlineStr">
        <is>
          <t>A1+</t>
        </is>
      </c>
      <c r="L10" s="12" t="inlineStr">
        <is>
          <t>Ser. 4</t>
        </is>
      </c>
      <c r="M10" s="2" t="n"/>
    </row>
    <row r="11" ht="16" customHeight="1" s="108">
      <c r="A11" s="2" t="n"/>
      <c r="B11" s="4" t="inlineStr">
        <is>
          <t xml:space="preserve">  MTN Nigeria  CP  Ser.14</t>
        </is>
      </c>
      <c r="C11" s="12" t="inlineStr">
        <is>
          <t>Telecoms</t>
        </is>
      </c>
      <c r="D11" s="36" t="n">
        <v>46068</v>
      </c>
      <c r="E11" s="50" t="n">
        <v>270</v>
      </c>
      <c r="F11" s="36" t="n">
        <v>46338</v>
      </c>
      <c r="G11" s="51" t="n">
        <v>27.5</v>
      </c>
      <c r="H11" s="33" t="n">
        <v>0.208</v>
      </c>
      <c r="I11" s="30">
        <f>IFERROR(H11*0.9,"—")</f>
        <v/>
      </c>
      <c r="J11" s="37" t="n">
        <v>200</v>
      </c>
      <c r="K11" s="12" t="inlineStr">
        <is>
          <t>A+</t>
        </is>
      </c>
      <c r="L11" s="12" t="inlineStr">
        <is>
          <t>Ser. 14</t>
        </is>
      </c>
      <c r="M11" s="2" t="n"/>
    </row>
    <row r="12" ht="16" customHeight="1" s="108">
      <c r="A12" s="2" t="n"/>
      <c r="B12" s="118" t="inlineStr">
        <is>
          <t xml:space="preserve">  Dangote Cement  CP</t>
        </is>
      </c>
      <c r="C12" s="12" t="inlineStr">
        <is>
          <t>Industrial</t>
        </is>
      </c>
      <c r="D12" s="36" t="n">
        <v>46082</v>
      </c>
      <c r="E12" s="50" t="n">
        <v>180</v>
      </c>
      <c r="F12" s="36" t="n">
        <v>46262</v>
      </c>
      <c r="G12" s="51" t="n">
        <v>41</v>
      </c>
      <c r="H12" s="33" t="n">
        <v>0.212</v>
      </c>
      <c r="I12" s="32">
        <f>IFERROR(H12*0.9,"—")</f>
        <v/>
      </c>
      <c r="J12" s="37" t="n">
        <v>100</v>
      </c>
      <c r="K12" s="12" t="inlineStr">
        <is>
          <t>A+</t>
        </is>
      </c>
      <c r="L12" s="12" t="inlineStr">
        <is>
          <t>Ser. 6</t>
        </is>
      </c>
      <c r="M12" s="2" t="n"/>
    </row>
    <row r="13" ht="16" customHeight="1" s="108">
      <c r="A13" s="2" t="n"/>
      <c r="B13" s="4" t="inlineStr">
        <is>
          <t xml:space="preserve">  Flour Mills Nigeria  CP</t>
        </is>
      </c>
      <c r="C13" s="12" t="inlineStr">
        <is>
          <t>Consumer</t>
        </is>
      </c>
      <c r="D13" s="36" t="n">
        <v>46047</v>
      </c>
      <c r="E13" s="50" t="n">
        <v>270</v>
      </c>
      <c r="F13" s="36" t="n">
        <v>46317</v>
      </c>
      <c r="G13" s="51" t="n">
        <v>15</v>
      </c>
      <c r="H13" s="33" t="n">
        <v>0.225</v>
      </c>
      <c r="I13" s="30">
        <f>IFERROR(H13*0.9,"—")</f>
        <v/>
      </c>
      <c r="J13" s="37" t="n">
        <v>30</v>
      </c>
      <c r="K13" s="12" t="inlineStr">
        <is>
          <t>A-</t>
        </is>
      </c>
      <c r="L13" s="12" t="inlineStr">
        <is>
          <t>Ser. 5</t>
        </is>
      </c>
      <c r="M13" s="2" t="n"/>
    </row>
    <row r="14" ht="16" customHeight="1" s="108">
      <c r="A14" s="2" t="n"/>
      <c r="B14" s="118" t="inlineStr">
        <is>
          <t xml:space="preserve">  FSDH Merchant Bank  CP</t>
        </is>
      </c>
      <c r="C14" s="12" t="inlineStr">
        <is>
          <t>Banking</t>
        </is>
      </c>
      <c r="D14" s="36" t="n">
        <v>46054</v>
      </c>
      <c r="E14" s="50" t="n">
        <v>180</v>
      </c>
      <c r="F14" s="36" t="n">
        <v>46233</v>
      </c>
      <c r="G14" s="51" t="n">
        <v>5.7</v>
      </c>
      <c r="H14" s="33" t="n">
        <v>0.2</v>
      </c>
      <c r="I14" s="32">
        <f>IFERROR(H14*0.9,"—")</f>
        <v/>
      </c>
      <c r="J14" s="37" t="n">
        <v>40</v>
      </c>
      <c r="K14" s="12" t="inlineStr">
        <is>
          <t>A-</t>
        </is>
      </c>
      <c r="L14" s="12" t="inlineStr">
        <is>
          <t>Ser. 2</t>
        </is>
      </c>
      <c r="M14" s="2" t="n"/>
    </row>
    <row r="15" ht="16" customHeight="1" s="108">
      <c r="A15" s="2" t="n"/>
      <c r="B15" s="4" t="inlineStr">
        <is>
          <t xml:space="preserve">  C&amp;I Leasing  CP</t>
        </is>
      </c>
      <c r="C15" s="12" t="inlineStr">
        <is>
          <t>Industrial</t>
        </is>
      </c>
      <c r="D15" s="36" t="n">
        <v>45931</v>
      </c>
      <c r="E15" s="50" t="n">
        <v>270</v>
      </c>
      <c r="F15" s="36" t="n">
        <v>46201</v>
      </c>
      <c r="G15" s="51" t="n">
        <v>8.140000000000001</v>
      </c>
      <c r="H15" s="33" t="n">
        <v>0.245</v>
      </c>
      <c r="I15" s="30">
        <f>IFERROR(H15*0.9,"—")</f>
        <v/>
      </c>
      <c r="J15" s="37" t="n">
        <v>50</v>
      </c>
      <c r="K15" s="12" t="inlineStr">
        <is>
          <t>BB+</t>
        </is>
      </c>
      <c r="L15" s="12" t="inlineStr">
        <is>
          <t>Ser. 5</t>
        </is>
      </c>
      <c r="M15" s="2" t="n"/>
    </row>
    <row r="16" ht="16" customHeight="1" s="108">
      <c r="A16" s="2" t="n"/>
      <c r="B16" s="118" t="inlineStr">
        <is>
          <t xml:space="preserve">  Valency Agro Nigeria  CP</t>
        </is>
      </c>
      <c r="C16" s="12" t="inlineStr">
        <is>
          <t>Agriculture</t>
        </is>
      </c>
      <c r="D16" s="36" t="n">
        <v>46082</v>
      </c>
      <c r="E16" s="50" t="n">
        <v>180</v>
      </c>
      <c r="F16" s="36" t="n">
        <v>46262</v>
      </c>
      <c r="G16" s="51" t="n">
        <v>22.7</v>
      </c>
      <c r="H16" s="33" t="n">
        <v>0.24</v>
      </c>
      <c r="I16" s="32">
        <f>IFERROR(H16*0.9,"—")</f>
        <v/>
      </c>
      <c r="J16" s="37" t="n">
        <v>30</v>
      </c>
      <c r="K16" s="12" t="inlineStr">
        <is>
          <t>BB</t>
        </is>
      </c>
      <c r="L16" s="12" t="inlineStr">
        <is>
          <t>Ser. 3</t>
        </is>
      </c>
      <c r="M16" s="2" t="n"/>
    </row>
    <row r="17" ht="16" customHeight="1" s="108">
      <c r="A17" s="2" t="n"/>
      <c r="B17" s="4" t="inlineStr">
        <is>
          <t xml:space="preserve">  VFD Group  CP</t>
        </is>
      </c>
      <c r="C17" s="12" t="inlineStr">
        <is>
          <t>Finance</t>
        </is>
      </c>
      <c r="D17" s="36" t="n">
        <v>46068</v>
      </c>
      <c r="E17" s="50" t="n">
        <v>270</v>
      </c>
      <c r="F17" s="36" t="n">
        <v>46338</v>
      </c>
      <c r="G17" s="51" t="n">
        <v>3.5</v>
      </c>
      <c r="H17" s="33" t="n">
        <v>0.25</v>
      </c>
      <c r="I17" s="30">
        <f>IFERROR(H17*0.9,"—")</f>
        <v/>
      </c>
      <c r="J17" s="37" t="n">
        <v>10</v>
      </c>
      <c r="K17" s="12" t="inlineStr">
        <is>
          <t>BB</t>
        </is>
      </c>
      <c r="L17" s="12" t="inlineStr">
        <is>
          <t>Ser. 2</t>
        </is>
      </c>
      <c r="M17" s="2" t="n"/>
    </row>
    <row r="18" ht="16" customHeight="1" s="108">
      <c r="A18" s="2" t="n"/>
      <c r="B18" s="118" t="inlineStr">
        <is>
          <t xml:space="preserve">  UACN  CP</t>
        </is>
      </c>
      <c r="C18" s="12" t="inlineStr">
        <is>
          <t>Consumer</t>
        </is>
      </c>
      <c r="D18" s="36" t="n">
        <v>46032</v>
      </c>
      <c r="E18" s="50" t="n">
        <v>180</v>
      </c>
      <c r="F18" s="36" t="n">
        <v>46211</v>
      </c>
      <c r="G18" s="51" t="n">
        <v>4.2</v>
      </c>
      <c r="H18" s="33" t="n">
        <v>0.235</v>
      </c>
      <c r="I18" s="32">
        <f>IFERROR(H18*0.9,"—")</f>
        <v/>
      </c>
      <c r="J18" s="37" t="n">
        <v>15</v>
      </c>
      <c r="K18" s="12" t="inlineStr">
        <is>
          <t>A-</t>
        </is>
      </c>
      <c r="L18" s="12" t="inlineStr">
        <is>
          <t>Ser. 3</t>
        </is>
      </c>
      <c r="M18" s="2" t="n"/>
    </row>
    <row r="19" ht="16" customHeight="1" s="108">
      <c r="A19" s="2" t="n"/>
      <c r="B19" s="4" t="inlineStr">
        <is>
          <t xml:space="preserve">  Skymark Partners  CP</t>
        </is>
      </c>
      <c r="C19" s="12" t="inlineStr">
        <is>
          <t>Finance</t>
        </is>
      </c>
      <c r="D19" s="36" t="n">
        <v>46073</v>
      </c>
      <c r="E19" s="50" t="n">
        <v>270</v>
      </c>
      <c r="F19" s="36" t="n">
        <v>46343</v>
      </c>
      <c r="G19" s="51" t="n">
        <v>10.7</v>
      </c>
      <c r="H19" s="33" t="n">
        <v>0.26</v>
      </c>
      <c r="I19" s="30">
        <f>IFERROR(H19*0.9,"—")</f>
        <v/>
      </c>
      <c r="J19" s="37" t="n">
        <v>20</v>
      </c>
      <c r="K19" s="12" t="inlineStr">
        <is>
          <t>B+</t>
        </is>
      </c>
      <c r="L19" s="12" t="inlineStr">
        <is>
          <t>Ser. 10</t>
        </is>
      </c>
      <c r="M19" s="2" t="n"/>
    </row>
    <row r="20" ht="16" customHeight="1" s="108">
      <c r="A20" s="2" t="n"/>
      <c r="B20" s="118" t="inlineStr">
        <is>
          <t xml:space="preserve">  Lekki Gardens Estate  CP</t>
        </is>
      </c>
      <c r="C20" s="12" t="inlineStr">
        <is>
          <t>Real Estate</t>
        </is>
      </c>
      <c r="D20" s="36" t="n">
        <v>46143</v>
      </c>
      <c r="E20" s="50" t="n">
        <v>270</v>
      </c>
      <c r="F20" s="36" t="n">
        <v>46413</v>
      </c>
      <c r="G20" s="51" t="n">
        <v>5</v>
      </c>
      <c r="H20" s="33" t="n">
        <v>0.232</v>
      </c>
      <c r="I20" s="32">
        <f>IFERROR(H20*0.9,"—")</f>
        <v/>
      </c>
      <c r="J20" s="37" t="n">
        <v>5</v>
      </c>
      <c r="K20" s="12" t="inlineStr">
        <is>
          <t>BBB-</t>
        </is>
      </c>
      <c r="L20" s="12" t="inlineStr">
        <is>
          <t>Ser. 4</t>
        </is>
      </c>
      <c r="M20" s="2" t="n"/>
    </row>
    <row r="21" ht="16" customHeight="1" s="108">
      <c r="A21" s="2" t="n"/>
      <c r="B21" s="4" t="inlineStr">
        <is>
          <t xml:space="preserve">  Daraju Industries  CP</t>
        </is>
      </c>
      <c r="C21" s="12" t="inlineStr">
        <is>
          <t>Consumer</t>
        </is>
      </c>
      <c r="D21" s="36" t="n">
        <v>46054</v>
      </c>
      <c r="E21" s="50" t="n">
        <v>180</v>
      </c>
      <c r="F21" s="36" t="n">
        <v>46233</v>
      </c>
      <c r="G21" s="51" t="n">
        <v>2.07</v>
      </c>
      <c r="H21" s="33" t="n">
        <v>0.255</v>
      </c>
      <c r="I21" s="30">
        <f>IFERROR(H21*0.9,"—")</f>
        <v/>
      </c>
      <c r="J21" s="37" t="n">
        <v>5</v>
      </c>
      <c r="K21" s="12" t="inlineStr">
        <is>
          <t>BB</t>
        </is>
      </c>
      <c r="L21" s="12" t="inlineStr">
        <is>
          <t>Ser. 3</t>
        </is>
      </c>
      <c r="M21" s="2" t="n"/>
    </row>
    <row r="22" ht="16" customHeight="1" s="108">
      <c r="A22" s="2" t="n"/>
      <c r="B22" s="118" t="inlineStr">
        <is>
          <t xml:space="preserve">  Providus Bank  CP</t>
        </is>
      </c>
      <c r="C22" s="12" t="inlineStr">
        <is>
          <t>Banking</t>
        </is>
      </c>
      <c r="D22" s="36" t="n">
        <v>46096</v>
      </c>
      <c r="E22" s="50" t="n">
        <v>180</v>
      </c>
      <c r="F22" s="36" t="n">
        <v>46276</v>
      </c>
      <c r="G22" s="51" t="n">
        <v>10</v>
      </c>
      <c r="H22" s="33" t="n">
        <v>0.22</v>
      </c>
      <c r="I22" s="32">
        <f>IFERROR(H22*0.9,"—")</f>
        <v/>
      </c>
      <c r="J22" s="37" t="n">
        <v>100</v>
      </c>
      <c r="K22" s="12" t="inlineStr">
        <is>
          <t>BB+</t>
        </is>
      </c>
      <c r="L22" s="12" t="inlineStr">
        <is>
          <t>Ser. 1</t>
        </is>
      </c>
      <c r="M22" s="2" t="n"/>
    </row>
    <row r="23" ht="16" customHeight="1" s="108">
      <c r="A23" s="2" t="n"/>
      <c r="B23" s="4" t="inlineStr">
        <is>
          <t xml:space="preserve">  NOVA Merchant Bank  CP</t>
        </is>
      </c>
      <c r="C23" s="12" t="inlineStr">
        <is>
          <t>Banking</t>
        </is>
      </c>
      <c r="D23" s="36" t="n">
        <v>46113</v>
      </c>
      <c r="E23" s="50" t="n">
        <v>180</v>
      </c>
      <c r="F23" s="36" t="n">
        <v>46293</v>
      </c>
      <c r="G23" s="51" t="n">
        <v>8</v>
      </c>
      <c r="H23" s="33" t="n">
        <v>0.225</v>
      </c>
      <c r="I23" s="30">
        <f>IFERROR(H23*0.9,"—")</f>
        <v/>
      </c>
      <c r="J23" s="37" t="n">
        <v>20</v>
      </c>
      <c r="K23" s="12" t="inlineStr">
        <is>
          <t>BB+</t>
        </is>
      </c>
      <c r="L23" s="12" t="inlineStr">
        <is>
          <t>Ser. 1</t>
        </is>
      </c>
      <c r="M23" s="2" t="n"/>
    </row>
    <row r="24" ht="16" customHeight="1" s="108">
      <c r="A24" s="2" t="n"/>
      <c r="B24" s="43" t="n"/>
      <c r="C24" s="44" t="n"/>
      <c r="D24" s="45" t="n"/>
      <c r="E24" s="52" t="n"/>
      <c r="F24" s="45" t="n"/>
      <c r="G24" s="53" t="n"/>
      <c r="H24" s="47" t="n"/>
      <c r="I24" s="30">
        <f>IFERROR(H24*0.9,"—")</f>
        <v/>
      </c>
      <c r="J24" s="46" t="n"/>
      <c r="K24" s="44" t="n"/>
      <c r="L24" s="44" t="n"/>
      <c r="M24" s="2" t="n"/>
    </row>
    <row r="25" ht="16" customHeight="1" s="108">
      <c r="A25" s="2" t="n"/>
      <c r="B25" s="7" t="n"/>
      <c r="C25" s="44" t="n"/>
      <c r="D25" s="45" t="n"/>
      <c r="E25" s="52" t="n"/>
      <c r="F25" s="45" t="n"/>
      <c r="G25" s="53" t="n"/>
      <c r="H25" s="47" t="n"/>
      <c r="I25" s="32">
        <f>IFERROR(H25*0.9,"—")</f>
        <v/>
      </c>
      <c r="J25" s="46" t="n"/>
      <c r="K25" s="44" t="n"/>
      <c r="L25" s="44" t="n"/>
      <c r="M25" s="2" t="n"/>
    </row>
    <row r="26" ht="16" customHeight="1" s="108">
      <c r="A26" s="2" t="n"/>
      <c r="B26" s="43" t="n"/>
      <c r="C26" s="44" t="n"/>
      <c r="D26" s="45" t="n"/>
      <c r="E26" s="52" t="n"/>
      <c r="F26" s="45" t="n"/>
      <c r="G26" s="53" t="n"/>
      <c r="H26" s="47" t="n"/>
      <c r="I26" s="30">
        <f>IFERROR(H26*0.9,"—")</f>
        <v/>
      </c>
      <c r="J26" s="46" t="n"/>
      <c r="K26" s="44" t="n"/>
      <c r="L26" s="44" t="n"/>
      <c r="M26" s="2" t="n"/>
    </row>
    <row r="27" ht="16" customHeight="1" s="108">
      <c r="A27" s="2" t="n"/>
      <c r="B27" s="7" t="n"/>
      <c r="C27" s="44" t="n"/>
      <c r="D27" s="45" t="n"/>
      <c r="E27" s="52" t="n"/>
      <c r="F27" s="45" t="n"/>
      <c r="G27" s="53" t="n"/>
      <c r="H27" s="47" t="n"/>
      <c r="I27" s="32">
        <f>IFERROR(H27*0.9,"—")</f>
        <v/>
      </c>
      <c r="J27" s="46" t="n"/>
      <c r="K27" s="44" t="n"/>
      <c r="L27" s="44" t="n"/>
      <c r="M27" s="2" t="n"/>
    </row>
    <row r="28" ht="16" customHeight="1" s="108">
      <c r="A28" s="2" t="n"/>
      <c r="B28" s="43" t="n"/>
      <c r="C28" s="44" t="n"/>
      <c r="D28" s="45" t="n"/>
      <c r="E28" s="52" t="n"/>
      <c r="F28" s="45" t="n"/>
      <c r="G28" s="53" t="n"/>
      <c r="H28" s="47" t="n"/>
      <c r="I28" s="30">
        <f>IFERROR(H28*0.9,"—")</f>
        <v/>
      </c>
      <c r="J28" s="46" t="n"/>
      <c r="K28" s="44" t="n"/>
      <c r="L28" s="44" t="n"/>
      <c r="M28" s="2" t="n"/>
    </row>
    <row r="29" ht="16" customHeight="1" s="108">
      <c r="A29" s="2" t="n"/>
      <c r="B29" s="7" t="n"/>
      <c r="C29" s="44" t="n"/>
      <c r="D29" s="45" t="n"/>
      <c r="E29" s="52" t="n"/>
      <c r="F29" s="45" t="n"/>
      <c r="G29" s="53" t="n"/>
      <c r="H29" s="47" t="n"/>
      <c r="I29" s="32">
        <f>IFERROR(H29*0.9,"—")</f>
        <v/>
      </c>
      <c r="J29" s="46" t="n"/>
      <c r="K29" s="44" t="n"/>
      <c r="L29" s="44" t="n"/>
      <c r="M29" s="2" t="n"/>
    </row>
    <row r="30" ht="16" customHeight="1" s="108">
      <c r="A30" s="2" t="n"/>
      <c r="B30" s="43" t="n"/>
      <c r="C30" s="44" t="n"/>
      <c r="D30" s="45" t="n"/>
      <c r="E30" s="52" t="n"/>
      <c r="F30" s="45" t="n"/>
      <c r="G30" s="53" t="n"/>
      <c r="H30" s="47" t="n"/>
      <c r="I30" s="30">
        <f>IFERROR(H30*0.9,"—")</f>
        <v/>
      </c>
      <c r="J30" s="46" t="n"/>
      <c r="K30" s="44" t="n"/>
      <c r="L30" s="44" t="n"/>
      <c r="M30" s="2" t="n"/>
    </row>
    <row r="31" ht="16" customHeight="1" s="108">
      <c r="A31" s="2" t="n"/>
      <c r="B31" s="7" t="n"/>
      <c r="C31" s="44" t="n"/>
      <c r="D31" s="45" t="n"/>
      <c r="E31" s="52" t="n"/>
      <c r="F31" s="45" t="n"/>
      <c r="G31" s="53" t="n"/>
      <c r="H31" s="47" t="n"/>
      <c r="I31" s="32">
        <f>IFERROR(H31*0.9,"—")</f>
        <v/>
      </c>
      <c r="J31" s="46" t="n"/>
      <c r="K31" s="44" t="n"/>
      <c r="L31" s="44" t="n"/>
      <c r="M31" s="2" t="n"/>
    </row>
    <row r="32" ht="16" customHeight="1" s="108">
      <c r="A32" s="2" t="n"/>
      <c r="B32" s="43" t="n"/>
      <c r="C32" s="44" t="n"/>
      <c r="D32" s="45" t="n"/>
      <c r="E32" s="52" t="n"/>
      <c r="F32" s="45" t="n"/>
      <c r="G32" s="53" t="n"/>
      <c r="H32" s="47" t="n"/>
      <c r="I32" s="30">
        <f>IFERROR(H32*0.9,"—")</f>
        <v/>
      </c>
      <c r="J32" s="46" t="n"/>
      <c r="K32" s="44" t="n"/>
      <c r="L32" s="44" t="n"/>
      <c r="M32" s="2" t="n"/>
    </row>
    <row r="33" ht="16" customHeight="1" s="108">
      <c r="A33" s="2" t="n"/>
      <c r="B33" s="7" t="n"/>
      <c r="C33" s="44" t="n"/>
      <c r="D33" s="45" t="n"/>
      <c r="E33" s="52" t="n"/>
      <c r="F33" s="45" t="n"/>
      <c r="G33" s="53" t="n"/>
      <c r="H33" s="47" t="n"/>
      <c r="I33" s="32">
        <f>IFERROR(H33*0.9,"—")</f>
        <v/>
      </c>
      <c r="J33" s="46" t="n"/>
      <c r="K33" s="44" t="n"/>
      <c r="L33" s="44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16" customHeight="1" s="108">
      <c r="A35" s="2" t="n"/>
      <c r="B35" s="105" t="inlineStr">
        <is>
          <t>CP ANALYTICS  —  Return comparison vs. T-Bills and FGN Bonds</t>
        </is>
      </c>
      <c r="C35" s="106" t="n"/>
      <c r="D35" s="106" t="n"/>
      <c r="E35" s="106" t="n"/>
      <c r="F35" s="106" t="n"/>
      <c r="G35" s="106" t="n"/>
      <c r="H35" s="106" t="n"/>
      <c r="I35" s="106" t="n"/>
      <c r="J35" s="106" t="n"/>
      <c r="K35" s="106" t="n"/>
      <c r="L35" s="106" t="n"/>
      <c r="M35" s="2" t="n"/>
    </row>
    <row r="36" ht="13" customHeight="1" s="108">
      <c r="A36" s="2" t="n"/>
      <c r="B36" s="10" t="inlineStr">
        <is>
          <t>Issuer</t>
        </is>
      </c>
      <c r="C36" s="10" t="inlineStr">
        <is>
          <t>Tenor (d)</t>
        </is>
      </c>
      <c r="D36" s="10" t="inlineStr">
        <is>
          <t>Gross Rate %</t>
        </is>
      </c>
      <c r="E36" s="10" t="inlineStr">
        <is>
          <t>Net (WHT) %</t>
        </is>
      </c>
      <c r="F36" s="10" t="inlineStr">
        <is>
          <t>vs 91d T-Bill  bps</t>
        </is>
      </c>
      <c r="G36" s="10" t="inlineStr">
        <is>
          <t>vs 364d T-Bill  bps</t>
        </is>
      </c>
      <c r="H36" s="10" t="inlineStr">
        <is>
          <t>vs Inflation  bps</t>
        </is>
      </c>
      <c r="I36" s="10" t="inlineStr">
        <is>
          <t>Real Net Yield %</t>
        </is>
      </c>
      <c r="J36" s="10" t="inlineStr">
        <is>
          <t>Days to Mat.</t>
        </is>
      </c>
      <c r="K36" s="10" t="inlineStr">
        <is>
          <t>Rating</t>
        </is>
      </c>
      <c r="L36" s="10" t="inlineStr">
        <is>
          <t>Inv. Grade?</t>
        </is>
      </c>
      <c r="M36" s="2" t="n"/>
    </row>
    <row r="37" ht="16" customHeight="1" s="108">
      <c r="A37" s="2" t="n"/>
      <c r="B37" s="38">
        <f>B7</f>
        <v/>
      </c>
      <c r="C37" s="31">
        <f>E7</f>
        <v/>
      </c>
      <c r="D37" s="30">
        <f>H7</f>
        <v/>
      </c>
      <c r="E37" s="30">
        <f>I7</f>
        <v/>
      </c>
      <c r="F37" s="31">
        <f>IFERROR((H7-CBNRates!C8)*10000,"—")</f>
        <v/>
      </c>
      <c r="G37" s="31">
        <f>IFERROR((H7-CBNRates!C10)*10000,"—")</f>
        <v/>
      </c>
      <c r="H37" s="31">
        <f>IFERROR((I7-CBNRates!C19)*10000,"—")</f>
        <v/>
      </c>
      <c r="I37" s="30">
        <f>IFERROR(I7-CBNRates!C19,"—")</f>
        <v/>
      </c>
      <c r="J37" s="31">
        <f>IFERROR(F7-TODAY(),"—")</f>
        <v/>
      </c>
      <c r="K37" s="38">
        <f>K7</f>
        <v/>
      </c>
      <c r="L37" s="122">
        <f>IF(OR(K7="AAA",K7="AA+",K7="AA",K7="AA-",K7="A+",K7="A",K7="A-",K7="BBB+",K7="BBB",K7="BBB-",K7="A1+",K7="A1",K7="A2"),"Yes","No / Check")</f>
        <v/>
      </c>
      <c r="M37" s="2" t="n"/>
    </row>
    <row r="38" ht="16" customHeight="1" s="108">
      <c r="A38" s="2" t="n"/>
      <c r="B38" s="29">
        <f>B8</f>
        <v/>
      </c>
      <c r="C38" s="23">
        <f>E8</f>
        <v/>
      </c>
      <c r="D38" s="32">
        <f>H8</f>
        <v/>
      </c>
      <c r="E38" s="32">
        <f>I8</f>
        <v/>
      </c>
      <c r="F38" s="23">
        <f>IFERROR((H8-CBNRates!C8)*10000,"—")</f>
        <v/>
      </c>
      <c r="G38" s="23">
        <f>IFERROR((H8-CBNRates!C10)*10000,"—")</f>
        <v/>
      </c>
      <c r="H38" s="23">
        <f>IFERROR((I8-CBNRates!C19)*10000,"—")</f>
        <v/>
      </c>
      <c r="I38" s="32">
        <f>IFERROR(I8-CBNRates!C19,"—")</f>
        <v/>
      </c>
      <c r="J38" s="23">
        <f>IFERROR(F8-TODAY(),"—")</f>
        <v/>
      </c>
      <c r="K38" s="29">
        <f>K8</f>
        <v/>
      </c>
      <c r="L38" s="26">
        <f>IF(OR(K8="AAA",K8="AA+",K8="AA",K8="AA-",K8="A+",K8="A",K8="A-",K8="BBB+",K8="BBB",K8="BBB-",K8="A1+",K8="A1",K8="A2"),"Yes","No / Check")</f>
        <v/>
      </c>
      <c r="M38" s="2" t="n"/>
    </row>
    <row r="39" ht="16" customHeight="1" s="108">
      <c r="A39" s="2" t="n"/>
      <c r="B39" s="38">
        <f>B9</f>
        <v/>
      </c>
      <c r="C39" s="31">
        <f>E9</f>
        <v/>
      </c>
      <c r="D39" s="30">
        <f>H9</f>
        <v/>
      </c>
      <c r="E39" s="30">
        <f>I9</f>
        <v/>
      </c>
      <c r="F39" s="31">
        <f>IFERROR((H9-CBNRates!C8)*10000,"—")</f>
        <v/>
      </c>
      <c r="G39" s="31">
        <f>IFERROR((H9-CBNRates!C10)*10000,"—")</f>
        <v/>
      </c>
      <c r="H39" s="31">
        <f>IFERROR((I9-CBNRates!C19)*10000,"—")</f>
        <v/>
      </c>
      <c r="I39" s="30">
        <f>IFERROR(I9-CBNRates!C19,"—")</f>
        <v/>
      </c>
      <c r="J39" s="31">
        <f>IFERROR(F9-TODAY(),"—")</f>
        <v/>
      </c>
      <c r="K39" s="38">
        <f>K9</f>
        <v/>
      </c>
      <c r="L39" s="122">
        <f>IF(OR(K9="AAA",K9="AA+",K9="AA",K9="AA-",K9="A+",K9="A",K9="A-",K9="BBB+",K9="BBB",K9="BBB-",K9="A1+",K9="A1",K9="A2"),"Yes","No / Check")</f>
        <v/>
      </c>
      <c r="M39" s="2" t="n"/>
    </row>
    <row r="40" ht="16" customHeight="1" s="108">
      <c r="A40" s="2" t="n"/>
      <c r="B40" s="29">
        <f>B10</f>
        <v/>
      </c>
      <c r="C40" s="23">
        <f>E10</f>
        <v/>
      </c>
      <c r="D40" s="32">
        <f>H10</f>
        <v/>
      </c>
      <c r="E40" s="32">
        <f>I10</f>
        <v/>
      </c>
      <c r="F40" s="23">
        <f>IFERROR((H10-CBNRates!C8)*10000,"—")</f>
        <v/>
      </c>
      <c r="G40" s="23">
        <f>IFERROR((H10-CBNRates!C10)*10000,"—")</f>
        <v/>
      </c>
      <c r="H40" s="23">
        <f>IFERROR((I10-CBNRates!C19)*10000,"—")</f>
        <v/>
      </c>
      <c r="I40" s="32">
        <f>IFERROR(I10-CBNRates!C19,"—")</f>
        <v/>
      </c>
      <c r="J40" s="23">
        <f>IFERROR(F10-TODAY(),"—")</f>
        <v/>
      </c>
      <c r="K40" s="29">
        <f>K10</f>
        <v/>
      </c>
      <c r="L40" s="26">
        <f>IF(OR(K10="AAA",K10="AA+",K10="AA",K10="AA-",K10="A+",K10="A",K10="A-",K10="BBB+",K10="BBB",K10="BBB-",K10="A1+",K10="A1",K10="A2"),"Yes","No / Check")</f>
        <v/>
      </c>
      <c r="M40" s="2" t="n"/>
    </row>
    <row r="41" ht="16" customHeight="1" s="108">
      <c r="A41" s="2" t="n"/>
      <c r="B41" s="38">
        <f>B11</f>
        <v/>
      </c>
      <c r="C41" s="31">
        <f>E11</f>
        <v/>
      </c>
      <c r="D41" s="30">
        <f>H11</f>
        <v/>
      </c>
      <c r="E41" s="30">
        <f>I11</f>
        <v/>
      </c>
      <c r="F41" s="31">
        <f>IFERROR((H11-CBNRates!C8)*10000,"—")</f>
        <v/>
      </c>
      <c r="G41" s="31">
        <f>IFERROR((H11-CBNRates!C10)*10000,"—")</f>
        <v/>
      </c>
      <c r="H41" s="31">
        <f>IFERROR((I11-CBNRates!C19)*10000,"—")</f>
        <v/>
      </c>
      <c r="I41" s="30">
        <f>IFERROR(I11-CBNRates!C19,"—")</f>
        <v/>
      </c>
      <c r="J41" s="31">
        <f>IFERROR(F11-TODAY(),"—")</f>
        <v/>
      </c>
      <c r="K41" s="38">
        <f>K11</f>
        <v/>
      </c>
      <c r="L41" s="122">
        <f>IF(OR(K11="AAA",K11="AA+",K11="AA",K11="AA-",K11="A+",K11="A",K11="A-",K11="BBB+",K11="BBB",K11="BBB-",K11="A1+",K11="A1",K11="A2"),"Yes","No / Check")</f>
        <v/>
      </c>
      <c r="M41" s="2" t="n"/>
    </row>
    <row r="42" ht="16" customHeight="1" s="108">
      <c r="A42" s="2" t="n"/>
      <c r="B42" s="29">
        <f>B12</f>
        <v/>
      </c>
      <c r="C42" s="23">
        <f>E12</f>
        <v/>
      </c>
      <c r="D42" s="32">
        <f>H12</f>
        <v/>
      </c>
      <c r="E42" s="32">
        <f>I12</f>
        <v/>
      </c>
      <c r="F42" s="23">
        <f>IFERROR((H12-CBNRates!C8)*10000,"—")</f>
        <v/>
      </c>
      <c r="G42" s="23">
        <f>IFERROR((H12-CBNRates!C10)*10000,"—")</f>
        <v/>
      </c>
      <c r="H42" s="23">
        <f>IFERROR((I12-CBNRates!C19)*10000,"—")</f>
        <v/>
      </c>
      <c r="I42" s="32">
        <f>IFERROR(I12-CBNRates!C19,"—")</f>
        <v/>
      </c>
      <c r="J42" s="23">
        <f>IFERROR(F12-TODAY(),"—")</f>
        <v/>
      </c>
      <c r="K42" s="29">
        <f>K12</f>
        <v/>
      </c>
      <c r="L42" s="26">
        <f>IF(OR(K12="AAA",K12="AA+",K12="AA",K12="AA-",K12="A+",K12="A",K12="A-",K12="BBB+",K12="BBB",K12="BBB-",K12="A1+",K12="A1",K12="A2"),"Yes","No / Check")</f>
        <v/>
      </c>
      <c r="M42" s="2" t="n"/>
    </row>
    <row r="43" ht="16" customHeight="1" s="108">
      <c r="A43" s="2" t="n"/>
      <c r="B43" s="38">
        <f>B13</f>
        <v/>
      </c>
      <c r="C43" s="31">
        <f>E13</f>
        <v/>
      </c>
      <c r="D43" s="30">
        <f>H13</f>
        <v/>
      </c>
      <c r="E43" s="30">
        <f>I13</f>
        <v/>
      </c>
      <c r="F43" s="31">
        <f>IFERROR((H13-CBNRates!C8)*10000,"—")</f>
        <v/>
      </c>
      <c r="G43" s="31">
        <f>IFERROR((H13-CBNRates!C10)*10000,"—")</f>
        <v/>
      </c>
      <c r="H43" s="31">
        <f>IFERROR((I13-CBNRates!C19)*10000,"—")</f>
        <v/>
      </c>
      <c r="I43" s="30">
        <f>IFERROR(I13-CBNRates!C19,"—")</f>
        <v/>
      </c>
      <c r="J43" s="31">
        <f>IFERROR(F13-TODAY(),"—")</f>
        <v/>
      </c>
      <c r="K43" s="38">
        <f>K13</f>
        <v/>
      </c>
      <c r="L43" s="122">
        <f>IF(OR(K13="AAA",K13="AA+",K13="AA",K13="AA-",K13="A+",K13="A",K13="A-",K13="BBB+",K13="BBB",K13="BBB-",K13="A1+",K13="A1",K13="A2"),"Yes","No / Check")</f>
        <v/>
      </c>
      <c r="M43" s="2" t="n"/>
    </row>
    <row r="44" ht="16" customHeight="1" s="108">
      <c r="A44" s="2" t="n"/>
      <c r="B44" s="29">
        <f>B14</f>
        <v/>
      </c>
      <c r="C44" s="23">
        <f>E14</f>
        <v/>
      </c>
      <c r="D44" s="32">
        <f>H14</f>
        <v/>
      </c>
      <c r="E44" s="32">
        <f>I14</f>
        <v/>
      </c>
      <c r="F44" s="23">
        <f>IFERROR((H14-CBNRates!C8)*10000,"—")</f>
        <v/>
      </c>
      <c r="G44" s="23">
        <f>IFERROR((H14-CBNRates!C10)*10000,"—")</f>
        <v/>
      </c>
      <c r="H44" s="23">
        <f>IFERROR((I14-CBNRates!C19)*10000,"—")</f>
        <v/>
      </c>
      <c r="I44" s="32">
        <f>IFERROR(I14-CBNRates!C19,"—")</f>
        <v/>
      </c>
      <c r="J44" s="23">
        <f>IFERROR(F14-TODAY(),"—")</f>
        <v/>
      </c>
      <c r="K44" s="29">
        <f>K14</f>
        <v/>
      </c>
      <c r="L44" s="26">
        <f>IF(OR(K14="AAA",K14="AA+",K14="AA",K14="AA-",K14="A+",K14="A",K14="A-",K14="BBB+",K14="BBB",K14="BBB-",K14="A1+",K14="A1",K14="A2"),"Yes","No / Check")</f>
        <v/>
      </c>
      <c r="M44" s="2" t="n"/>
    </row>
    <row r="45" ht="16" customHeight="1" s="108">
      <c r="A45" s="2" t="n"/>
      <c r="B45" s="38">
        <f>B15</f>
        <v/>
      </c>
      <c r="C45" s="31">
        <f>E15</f>
        <v/>
      </c>
      <c r="D45" s="30">
        <f>H15</f>
        <v/>
      </c>
      <c r="E45" s="30">
        <f>I15</f>
        <v/>
      </c>
      <c r="F45" s="31">
        <f>IFERROR((H15-CBNRates!C8)*10000,"—")</f>
        <v/>
      </c>
      <c r="G45" s="31">
        <f>IFERROR((H15-CBNRates!C10)*10000,"—")</f>
        <v/>
      </c>
      <c r="H45" s="31">
        <f>IFERROR((I15-CBNRates!C19)*10000,"—")</f>
        <v/>
      </c>
      <c r="I45" s="30">
        <f>IFERROR(I15-CBNRates!C19,"—")</f>
        <v/>
      </c>
      <c r="J45" s="31">
        <f>IFERROR(F15-TODAY(),"—")</f>
        <v/>
      </c>
      <c r="K45" s="38">
        <f>K15</f>
        <v/>
      </c>
      <c r="L45" s="122">
        <f>IF(OR(K15="AAA",K15="AA+",K15="AA",K15="AA-",K15="A+",K15="A",K15="A-",K15="BBB+",K15="BBB",K15="BBB-",K15="A1+",K15="A1",K15="A2"),"Yes","No / Check")</f>
        <v/>
      </c>
      <c r="M45" s="2" t="n"/>
    </row>
    <row r="46" ht="16" customHeight="1" s="108">
      <c r="A46" s="2" t="n"/>
      <c r="B46" s="29">
        <f>B16</f>
        <v/>
      </c>
      <c r="C46" s="23">
        <f>E16</f>
        <v/>
      </c>
      <c r="D46" s="32">
        <f>H16</f>
        <v/>
      </c>
      <c r="E46" s="32">
        <f>I16</f>
        <v/>
      </c>
      <c r="F46" s="23">
        <f>IFERROR((H16-CBNRates!C8)*10000,"—")</f>
        <v/>
      </c>
      <c r="G46" s="23">
        <f>IFERROR((H16-CBNRates!C10)*10000,"—")</f>
        <v/>
      </c>
      <c r="H46" s="23">
        <f>IFERROR((I16-CBNRates!C19)*10000,"—")</f>
        <v/>
      </c>
      <c r="I46" s="32">
        <f>IFERROR(I16-CBNRates!C19,"—")</f>
        <v/>
      </c>
      <c r="J46" s="23">
        <f>IFERROR(F16-TODAY(),"—")</f>
        <v/>
      </c>
      <c r="K46" s="29">
        <f>K16</f>
        <v/>
      </c>
      <c r="L46" s="26">
        <f>IF(OR(K16="AAA",K16="AA+",K16="AA",K16="AA-",K16="A+",K16="A",K16="A-",K16="BBB+",K16="BBB",K16="BBB-",K16="A1+",K16="A1",K16="A2"),"Yes","No / Check")</f>
        <v/>
      </c>
      <c r="M46" s="2" t="n"/>
    </row>
    <row r="47" ht="16" customHeight="1" s="108">
      <c r="A47" s="2" t="n"/>
      <c r="B47" s="38">
        <f>B17</f>
        <v/>
      </c>
      <c r="C47" s="31">
        <f>E17</f>
        <v/>
      </c>
      <c r="D47" s="30">
        <f>H17</f>
        <v/>
      </c>
      <c r="E47" s="30">
        <f>I17</f>
        <v/>
      </c>
      <c r="F47" s="31">
        <f>IFERROR((H17-CBNRates!C8)*10000,"—")</f>
        <v/>
      </c>
      <c r="G47" s="31">
        <f>IFERROR((H17-CBNRates!C10)*10000,"—")</f>
        <v/>
      </c>
      <c r="H47" s="31">
        <f>IFERROR((I17-CBNRates!C19)*10000,"—")</f>
        <v/>
      </c>
      <c r="I47" s="30">
        <f>IFERROR(I17-CBNRates!C19,"—")</f>
        <v/>
      </c>
      <c r="J47" s="31">
        <f>IFERROR(F17-TODAY(),"—")</f>
        <v/>
      </c>
      <c r="K47" s="38">
        <f>K17</f>
        <v/>
      </c>
      <c r="L47" s="122">
        <f>IF(OR(K17="AAA",K17="AA+",K17="AA",K17="AA-",K17="A+",K17="A",K17="A-",K17="BBB+",K17="BBB",K17="BBB-",K17="A1+",K17="A1",K17="A2"),"Yes","No / Check")</f>
        <v/>
      </c>
      <c r="M47" s="2" t="n"/>
    </row>
    <row r="48" ht="16" customHeight="1" s="108">
      <c r="A48" s="2" t="n"/>
      <c r="B48" s="29">
        <f>B18</f>
        <v/>
      </c>
      <c r="C48" s="23">
        <f>E18</f>
        <v/>
      </c>
      <c r="D48" s="32">
        <f>H18</f>
        <v/>
      </c>
      <c r="E48" s="32">
        <f>I18</f>
        <v/>
      </c>
      <c r="F48" s="23">
        <f>IFERROR((H18-CBNRates!C8)*10000,"—")</f>
        <v/>
      </c>
      <c r="G48" s="23">
        <f>IFERROR((H18-CBNRates!C10)*10000,"—")</f>
        <v/>
      </c>
      <c r="H48" s="23">
        <f>IFERROR((I18-CBNRates!C19)*10000,"—")</f>
        <v/>
      </c>
      <c r="I48" s="32">
        <f>IFERROR(I18-CBNRates!C19,"—")</f>
        <v/>
      </c>
      <c r="J48" s="23">
        <f>IFERROR(F18-TODAY(),"—")</f>
        <v/>
      </c>
      <c r="K48" s="29">
        <f>K18</f>
        <v/>
      </c>
      <c r="L48" s="26">
        <f>IF(OR(K18="AAA",K18="AA+",K18="AA",K18="AA-",K18="A+",K18="A",K18="A-",K18="BBB+",K18="BBB",K18="BBB-",K18="A1+",K18="A1",K18="A2"),"Yes","No / Check")</f>
        <v/>
      </c>
      <c r="M48" s="2" t="n"/>
    </row>
    <row r="49">
      <c r="A49" s="2" t="n"/>
      <c r="B49" s="2" t="n"/>
      <c r="C49" s="2" t="n"/>
      <c r="D49" s="2" t="n"/>
      <c r="E49" s="2" t="n"/>
      <c r="F49" s="54">
        <f>IFERROR((H19-CBNRates!C8)*10000,"—")</f>
        <v/>
      </c>
      <c r="G49" s="54">
        <f>IFERROR((H19-CBNRates!C10)*10000,"—")</f>
        <v/>
      </c>
      <c r="H49" s="54">
        <f>IFERROR((I19-CBNRates!C19)*10000,"—")</f>
        <v/>
      </c>
      <c r="I49" s="55">
        <f>IFERROR(I19-CBNRates!C19,"—")</f>
        <v/>
      </c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54">
        <f>IFERROR((H20-CBNRates!C8)*10000,"—")</f>
        <v/>
      </c>
      <c r="G50" s="54">
        <f>IFERROR((H20-CBNRates!C10)*10000,"—")</f>
        <v/>
      </c>
      <c r="H50" s="54">
        <f>IFERROR((I20-CBNRates!C19)*10000,"—")</f>
        <v/>
      </c>
      <c r="I50" s="55">
        <f>IFERROR(I20-CBNRates!C19,"—")</f>
        <v/>
      </c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54">
        <f>IFERROR((H21-CBNRates!C8)*10000,"—")</f>
        <v/>
      </c>
      <c r="G51" s="54">
        <f>IFERROR((H21-CBNRates!C10)*10000,"—")</f>
        <v/>
      </c>
      <c r="H51" s="54">
        <f>IFERROR((I21-CBNRates!C19)*10000,"—")</f>
        <v/>
      </c>
      <c r="I51" s="55">
        <f>IFERROR(I21-CBNRates!C19,"—")</f>
        <v/>
      </c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54">
        <f>IFERROR((H22-CBNRates!C8)*10000,"—")</f>
        <v/>
      </c>
      <c r="G52" s="54">
        <f>IFERROR((H22-CBNRates!C10)*10000,"—")</f>
        <v/>
      </c>
      <c r="H52" s="54">
        <f>IFERROR((I22-CBNRates!C19)*10000,"—")</f>
        <v/>
      </c>
      <c r="I52" s="55">
        <f>IFERROR(I22-CBNRates!C19,"—")</f>
        <v/>
      </c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54">
        <f>IFERROR((H23-CBNRates!C8)*10000,"—")</f>
        <v/>
      </c>
      <c r="G53" s="54">
        <f>IFERROR((H23-CBNRates!C10)*10000,"—")</f>
        <v/>
      </c>
      <c r="H53" s="54">
        <f>IFERROR((I23-CBNRates!C19)*10000,"—")</f>
        <v/>
      </c>
      <c r="I53" s="55">
        <f>IFERROR(I23-CBNRates!C19,"—")</f>
        <v/>
      </c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</sheetData>
  <mergeCells count="4">
    <mergeCell ref="B2:L2"/>
    <mergeCell ref="B5:L5"/>
    <mergeCell ref="B35:L35"/>
    <mergeCell ref="B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8B6914"/>
    <outlinePr summaryBelow="1" summaryRight="1"/>
    <pageSetUpPr/>
  </sheetPr>
  <dimension ref="A1:F80"/>
  <sheetViews>
    <sheetView showGridLines="0" zoomScale="95" workbookViewId="0">
      <selection activeCell="C32" sqref="C32"/>
    </sheetView>
  </sheetViews>
  <sheetFormatPr baseColWidth="10" defaultColWidth="8.83203125" defaultRowHeight="15"/>
  <cols>
    <col width="1.5" customWidth="1" style="108" min="1" max="1"/>
    <col width="28" customWidth="1" style="108" min="2" max="2"/>
    <col width="18" customWidth="1" style="108" min="3" max="4"/>
    <col width="28" customWidth="1" style="108" min="5" max="5"/>
    <col width="1.5" customWidth="1" style="108" min="6" max="6"/>
  </cols>
  <sheetData>
    <row r="1">
      <c r="A1" s="2" t="n"/>
      <c r="B1" s="2" t="n"/>
      <c r="C1" s="2" t="n"/>
      <c r="D1" s="2" t="n"/>
      <c r="E1" s="2" t="n"/>
      <c r="F1" s="2" t="n"/>
    </row>
    <row r="2" ht="22" customHeight="1" s="108">
      <c r="A2" s="2" t="n"/>
      <c r="B2" s="109" t="inlineStr">
        <is>
          <t>BOND  ANALYTICS  CALCULATOR</t>
        </is>
      </c>
      <c r="C2" s="106" t="n"/>
      <c r="D2" s="106" t="n"/>
      <c r="E2" s="106" t="n"/>
      <c r="F2" s="2" t="n"/>
    </row>
    <row r="3" ht="14" customHeight="1" s="108">
      <c r="A3" s="2" t="n"/>
      <c r="B3" s="107" t="inlineStr">
        <is>
          <t>Standalone bond pricing and risk calculator. Blue cells = your inputs. Black = computed.</t>
        </is>
      </c>
      <c r="F3" s="2" t="n"/>
    </row>
    <row r="4">
      <c r="A4" s="2" t="n"/>
      <c r="B4" s="2" t="n"/>
      <c r="C4" s="2" t="n"/>
      <c r="D4" s="2" t="n"/>
      <c r="E4" s="2" t="n"/>
      <c r="F4" s="2" t="n"/>
    </row>
    <row r="5" ht="16" customHeight="1" s="108">
      <c r="A5" s="2" t="n"/>
      <c r="B5" s="105" t="inlineStr">
        <is>
          <t>BOND INPUTS</t>
        </is>
      </c>
      <c r="C5" s="106" t="n"/>
      <c r="D5" s="106" t="n"/>
      <c r="E5" s="106" t="n"/>
      <c r="F5" s="2" t="n"/>
    </row>
    <row r="6" ht="13" customHeight="1" s="108">
      <c r="A6" s="2" t="n"/>
      <c r="B6" s="10" t="inlineStr">
        <is>
          <t>Input</t>
        </is>
      </c>
      <c r="C6" s="10" t="inlineStr">
        <is>
          <t>Value</t>
        </is>
      </c>
      <c r="D6" s="10" t="inlineStr">
        <is>
          <t>Unit</t>
        </is>
      </c>
      <c r="E6" s="10" t="inlineStr">
        <is>
          <t>Description</t>
        </is>
      </c>
      <c r="F6" s="2" t="n"/>
    </row>
    <row r="7" ht="16" customHeight="1" s="108">
      <c r="A7" s="2" t="n"/>
      <c r="B7" s="118" t="inlineStr">
        <is>
          <t xml:space="preserve">  Settlement Date</t>
        </is>
      </c>
      <c r="C7" s="56">
        <f>TODAY()</f>
        <v/>
      </c>
      <c r="D7" s="9" t="inlineStr">
        <is>
          <t>Date</t>
        </is>
      </c>
      <c r="E7" s="107" t="inlineStr">
        <is>
          <t xml:space="preserve">  Enter as YYYY-MM-DD or use TODAY()</t>
        </is>
      </c>
      <c r="F7" s="2" t="n"/>
    </row>
    <row r="8" ht="16" customHeight="1" s="108">
      <c r="A8" s="2" t="n"/>
      <c r="B8" s="4" t="inlineStr">
        <is>
          <t xml:space="preserve">  Maturity Date</t>
        </is>
      </c>
      <c r="C8" s="12" t="inlineStr">
        <is>
          <t>2035-01-20</t>
        </is>
      </c>
      <c r="D8" s="5" t="inlineStr">
        <is>
          <t>Date</t>
        </is>
      </c>
      <c r="E8" s="112" t="inlineStr">
        <is>
          <t xml:space="preserve">  Bond maturity — from term sheet</t>
        </is>
      </c>
      <c r="F8" s="2" t="n"/>
    </row>
    <row r="9" ht="16" customHeight="1" s="108">
      <c r="A9" s="2" t="n"/>
      <c r="B9" s="118" t="inlineStr">
        <is>
          <t xml:space="preserve">  Coupon Rate</t>
        </is>
      </c>
      <c r="C9" s="12" t="inlineStr">
        <is>
          <t>0.2260</t>
        </is>
      </c>
      <c r="D9" s="9" t="inlineStr">
        <is>
          <t>decimal</t>
        </is>
      </c>
      <c r="E9" s="107" t="inlineStr">
        <is>
          <t xml:space="preserve">  Annual coupon as decimal (22.60% = 0.2260)</t>
        </is>
      </c>
      <c r="F9" s="2" t="n"/>
    </row>
    <row r="10" ht="16" customHeight="1" s="108">
      <c r="A10" s="2" t="n"/>
      <c r="B10" s="4" t="inlineStr">
        <is>
          <t xml:space="preserve">  Current Price</t>
        </is>
      </c>
      <c r="C10" s="12" t="inlineStr">
        <is>
          <t>100.00</t>
        </is>
      </c>
      <c r="D10" s="5" t="inlineStr">
        <is>
          <t>₦ per 100 face</t>
        </is>
      </c>
      <c r="E10" s="112" t="inlineStr">
        <is>
          <t xml:space="preserve">  Dirty price from FMDQ or broker</t>
        </is>
      </c>
      <c r="F10" s="2" t="n"/>
    </row>
    <row r="11" ht="16" customHeight="1" s="108">
      <c r="A11" s="2" t="n"/>
      <c r="B11" s="118" t="inlineStr">
        <is>
          <t xml:space="preserve">  Face Value</t>
        </is>
      </c>
      <c r="C11" s="12" t="inlineStr">
        <is>
          <t>1000000</t>
        </is>
      </c>
      <c r="D11" s="9" t="inlineStr">
        <is>
          <t>₦</t>
        </is>
      </c>
      <c r="E11" s="107" t="inlineStr">
        <is>
          <t xml:space="preserve">  Face value of the bond (1,000,000 = ₦1m)</t>
        </is>
      </c>
      <c r="F11" s="2" t="n"/>
    </row>
    <row r="12" ht="16" customHeight="1" s="108">
      <c r="A12" s="2" t="n"/>
      <c r="B12" s="4" t="inlineStr">
        <is>
          <t xml:space="preserve">  Coupon Frequency</t>
        </is>
      </c>
      <c r="C12" s="12" t="inlineStr">
        <is>
          <t>2</t>
        </is>
      </c>
      <c r="D12" s="5" t="inlineStr">
        <is>
          <t>per year</t>
        </is>
      </c>
      <c r="E12" s="112" t="inlineStr">
        <is>
          <t xml:space="preserve">  2 = semi-annual (FGN standard)  ·  1 = annual</t>
        </is>
      </c>
      <c r="F12" s="2" t="n"/>
    </row>
    <row r="13" ht="16" customHeight="1" s="108">
      <c r="A13" s="2" t="n"/>
      <c r="B13" s="118" t="inlineStr">
        <is>
          <t xml:space="preserve">  Settlement Basis</t>
        </is>
      </c>
      <c r="C13" s="12" t="inlineStr">
        <is>
          <t>1</t>
        </is>
      </c>
      <c r="D13" s="9" t="inlineStr">
        <is>
          <t>ACT/ACT</t>
        </is>
      </c>
      <c r="E13" s="107" t="inlineStr">
        <is>
          <t xml:space="preserve">  1 = ACT/ACT (ICMA)  ·  0 = 30/360</t>
        </is>
      </c>
      <c r="F13" s="2" t="n"/>
    </row>
    <row r="14" ht="16" customHeight="1" s="108">
      <c r="A14" s="2" t="n"/>
      <c r="B14" s="4" t="inlineStr">
        <is>
          <t xml:space="preserve">  Required Yield</t>
        </is>
      </c>
      <c r="C14" s="12" t="inlineStr">
        <is>
          <t>0.1752</t>
        </is>
      </c>
      <c r="D14" s="5" t="inlineStr">
        <is>
          <t>decimal</t>
        </is>
      </c>
      <c r="E14" s="112" t="inlineStr">
        <is>
          <t xml:space="preserve">  Your target / hurdle yield (17.52% = 0.1752)</t>
        </is>
      </c>
      <c r="F14" s="2" t="n"/>
    </row>
    <row r="15" ht="16" customHeight="1" s="108">
      <c r="A15" s="2" t="n"/>
      <c r="B15" s="118" t="inlineStr">
        <is>
          <t xml:space="preserve">  Tax Rate (WHT)</t>
        </is>
      </c>
      <c r="C15" s="12" t="inlineStr">
        <is>
          <t>0.10</t>
        </is>
      </c>
      <c r="D15" s="9" t="inlineStr">
        <is>
          <t>decimal</t>
        </is>
      </c>
      <c r="E15" s="107" t="inlineStr">
        <is>
          <t xml:space="preserve">  10% WHT applies from Jan 2025</t>
        </is>
      </c>
      <c r="F15" s="2" t="n"/>
    </row>
    <row r="16" ht="16" customHeight="1" s="108">
      <c r="A16" s="2" t="n"/>
      <c r="B16" s="4" t="inlineStr">
        <is>
          <t xml:space="preserve">  Inflation Rate</t>
        </is>
      </c>
      <c r="C16" s="56">
        <f>CBNRates!C19</f>
        <v/>
      </c>
      <c r="D16" s="5" t="inlineStr">
        <is>
          <t>decimal</t>
        </is>
      </c>
      <c r="E16" s="112" t="inlineStr">
        <is>
          <t xml:space="preserve">  Auto-pulls from CBN Rates sheet</t>
        </is>
      </c>
      <c r="F16" s="2" t="n"/>
    </row>
    <row r="17">
      <c r="A17" s="2" t="n"/>
      <c r="B17" s="2" t="n"/>
      <c r="C17" s="2" t="n"/>
      <c r="D17" s="2" t="n"/>
      <c r="E17" s="2" t="n"/>
      <c r="F17" s="2" t="n"/>
    </row>
    <row r="18" ht="16" customHeight="1" s="108">
      <c r="A18" s="2" t="n"/>
      <c r="B18" s="105" t="inlineStr">
        <is>
          <t>CALCULATED OUTPUTS  (auto-updates as you change inputs)</t>
        </is>
      </c>
      <c r="C18" s="106" t="n"/>
      <c r="D18" s="106" t="n"/>
      <c r="E18" s="106" t="n"/>
      <c r="F18" s="2" t="n"/>
    </row>
    <row r="19" ht="13" customHeight="1" s="108">
      <c r="A19" s="2" t="n"/>
      <c r="B19" s="10" t="inlineStr">
        <is>
          <t>Output</t>
        </is>
      </c>
      <c r="C19" s="10" t="inlineStr">
        <is>
          <t>Value</t>
        </is>
      </c>
      <c r="D19" s="10" t="inlineStr">
        <is>
          <t>Unit</t>
        </is>
      </c>
      <c r="E19" s="10" t="inlineStr">
        <is>
          <t>Interpretation</t>
        </is>
      </c>
      <c r="F19" s="2" t="n"/>
    </row>
    <row r="20" ht="18" customHeight="1" s="108">
      <c r="A20" s="2" t="n"/>
      <c r="B20" s="4" t="inlineStr">
        <is>
          <t xml:space="preserve">  Years to Maturity</t>
        </is>
      </c>
      <c r="C20" s="40">
        <f>IFERROR(YEARFRAC(C7,C8,1),"—")</f>
        <v/>
      </c>
      <c r="D20" s="5" t="inlineStr">
        <is>
          <t>years</t>
        </is>
      </c>
      <c r="E20" s="57" t="inlineStr">
        <is>
          <t xml:space="preserve">  Remaining life of the bond from today</t>
        </is>
      </c>
      <c r="F20" s="2" t="n"/>
    </row>
    <row r="21" ht="18" customHeight="1" s="108">
      <c r="A21" s="2" t="n"/>
      <c r="B21" s="118" t="inlineStr">
        <is>
          <t xml:space="preserve">  Yield to Maturity (YTM)</t>
        </is>
      </c>
      <c r="C21" s="58">
        <f>IFERROR(YIELD(C7,C8,C9,C10,100,C12,C13),"—")</f>
        <v/>
      </c>
      <c r="D21" s="9" t="inlineStr">
        <is>
          <t>decimal</t>
        </is>
      </c>
      <c r="E21" s="59" t="inlineStr">
        <is>
          <t xml:space="preserve">  Internal rate of return if held to maturity — primary return metric</t>
        </is>
      </c>
      <c r="F21" s="2" t="n"/>
    </row>
    <row r="22" ht="18" customHeight="1" s="108">
      <c r="A22" s="2" t="n"/>
      <c r="B22" s="4" t="inlineStr">
        <is>
          <t xml:space="preserve">  YTM  (annualised %)</t>
        </is>
      </c>
      <c r="C22" s="30">
        <f>IFERROR(YIELD(C7,C8,C9,C10,100,C12,C13),"—")</f>
        <v/>
      </c>
      <c r="D22" s="5" t="inlineStr">
        <is>
          <t>%</t>
        </is>
      </c>
      <c r="E22" s="57" t="inlineStr">
        <is>
          <t xml:space="preserve">  </t>
        </is>
      </c>
      <c r="F22" s="2" t="n"/>
    </row>
    <row r="23" ht="18" customHeight="1" s="108">
      <c r="A23" s="2" t="n"/>
      <c r="B23" s="118" t="inlineStr">
        <is>
          <t xml:space="preserve">  Price  at  Required Yield</t>
        </is>
      </c>
      <c r="C23" s="60">
        <f>IFERROR(PRICE(C7,C8,C9,C14,100,C12,C13)*C11/100,"—")</f>
        <v/>
      </c>
      <c r="D23" s="9" t="inlineStr">
        <is>
          <t>₦</t>
        </is>
      </c>
      <c r="E23" s="59" t="inlineStr">
        <is>
          <t xml:space="preserve">  Fair value if market yield = your required yield</t>
        </is>
      </c>
      <c r="F23" s="2" t="n"/>
    </row>
    <row r="24" ht="18" customHeight="1" s="108">
      <c r="A24" s="2" t="n"/>
      <c r="B24" s="4" t="inlineStr">
        <is>
          <t xml:space="preserve">  Macaulay Duration</t>
        </is>
      </c>
      <c r="C24" s="40">
        <f>IFERROR(DURATION(C7,C8,C9,YIELD(C7,C8,C9,C10,100,C12,C13),C12,C13),"—")</f>
        <v/>
      </c>
      <c r="D24" s="5" t="inlineStr">
        <is>
          <t>years</t>
        </is>
      </c>
      <c r="E24" s="57" t="inlineStr">
        <is>
          <t xml:space="preserve">  Weighted average time to receive cash flows — interest rate sensitivity proxy</t>
        </is>
      </c>
      <c r="F24" s="2" t="n"/>
    </row>
    <row r="25" ht="18" customHeight="1" s="108">
      <c r="A25" s="2" t="n"/>
      <c r="B25" s="118" t="inlineStr">
        <is>
          <t xml:space="preserve">  Modified Duration</t>
        </is>
      </c>
      <c r="C25" s="42">
        <f>IFERROR(MDURATION(C7,C8,C9,YIELD(C7,C8,C9,C10,100,C12,C13),C12,C13),"—")</f>
        <v/>
      </c>
      <c r="D25" s="9" t="inlineStr">
        <is>
          <t>years</t>
        </is>
      </c>
      <c r="E25" s="59" t="inlineStr">
        <is>
          <t xml:space="preserve">  % price change for 1% change in yield. Higher = more interest rate risk</t>
        </is>
      </c>
      <c r="F25" s="2" t="n"/>
    </row>
    <row r="26" ht="18" customHeight="1" s="108">
      <c r="A26" s="2" t="n"/>
      <c r="B26" s="4" t="inlineStr">
        <is>
          <t xml:space="preserve">  DV01  (₦ per  ₦1M  face)</t>
        </is>
      </c>
      <c r="C26" s="61">
        <f>IFERROR(MDURATION(C7,C8,C9,YIELD(C7,C8,C9,C10,100,C12,C13),C12,C13)*C10/100*C11*0.0001,"—")</f>
        <v/>
      </c>
      <c r="D26" s="5" t="inlineStr">
        <is>
          <t>₦</t>
        </is>
      </c>
      <c r="E26" s="57" t="inlineStr">
        <is>
          <t xml:space="preserve">  Price change for 1 basis point move in yield — key hedging metric</t>
        </is>
      </c>
      <c r="F26" s="2" t="n"/>
    </row>
    <row r="27" ht="18" customHeight="1" s="108">
      <c r="A27" s="2" t="n"/>
      <c r="B27" s="118" t="inlineStr">
        <is>
          <t xml:space="preserve">  Accrued Interest</t>
        </is>
      </c>
      <c r="C27" s="58">
        <f>IFERROR(ACCRINT(C7,C7,C8,C9,100,C12,C13),"—")</f>
        <v/>
      </c>
      <c r="D27" s="9" t="inlineStr">
        <is>
          <t>per 100 face</t>
        </is>
      </c>
      <c r="E27" s="59" t="inlineStr">
        <is>
          <t xml:space="preserve">  Interest earned since last coupon date</t>
        </is>
      </c>
      <c r="F27" s="2" t="n"/>
    </row>
    <row r="28" ht="18" customHeight="1" s="108">
      <c r="A28" s="2" t="n"/>
      <c r="B28" s="4" t="inlineStr">
        <is>
          <t xml:space="preserve">  Net YTM  after WHT</t>
        </is>
      </c>
      <c r="C28" s="30">
        <f>IFERROR(YIELD(C7,C8,C9,C10,100,C12,C13)*(1-C15),"—")</f>
        <v/>
      </c>
      <c r="D28" s="5" t="inlineStr">
        <is>
          <t>decimal</t>
        </is>
      </c>
      <c r="E28" s="57" t="inlineStr">
        <is>
          <t xml:space="preserve">  After-tax return — use this for return comparisons</t>
        </is>
      </c>
      <c r="F28" s="2" t="n"/>
    </row>
    <row r="29" ht="18" customHeight="1" s="108">
      <c r="A29" s="2" t="n"/>
      <c r="B29" s="118" t="inlineStr">
        <is>
          <t xml:space="preserve">  Real YTM  (net of inflation)</t>
        </is>
      </c>
      <c r="C29" s="32">
        <f>IFERROR(YIELD(C7,C8,C9,C10,100,C12,C13)-C16,"—")</f>
        <v/>
      </c>
      <c r="D29" s="9" t="inlineStr">
        <is>
          <t>decimal</t>
        </is>
      </c>
      <c r="E29" s="59" t="inlineStr">
        <is>
          <t xml:space="preserve">  +ve = you are earning above inflation. -ve = real wealth destruction</t>
        </is>
      </c>
      <c r="F29" s="2" t="n"/>
    </row>
    <row r="30" ht="18" customHeight="1" s="108">
      <c r="A30" s="2" t="n"/>
      <c r="B30" s="4" t="inlineStr">
        <is>
          <t xml:space="preserve">  Spread  vs  T-Bill  (bps)</t>
        </is>
      </c>
      <c r="C30" s="31">
        <f>IFERROR((YIELD(C7,C8,C9,C10,100,C12,C13)-CBNRates!C19)*10000,"—")</f>
        <v/>
      </c>
      <c r="D30" s="5" t="inlineStr">
        <is>
          <t>bps</t>
        </is>
      </c>
      <c r="E30" s="57" t="inlineStr">
        <is>
          <t xml:space="preserve">  Yield pickup over 91-day T-bill (risk-free rate)</t>
        </is>
      </c>
      <c r="F30" s="2" t="n"/>
    </row>
    <row r="31" ht="18" customHeight="1" s="108">
      <c r="A31" s="2" t="n"/>
      <c r="B31" s="118" t="inlineStr">
        <is>
          <t xml:space="preserve">  Spread  vs  FGN  10Y  (bps)</t>
        </is>
      </c>
      <c r="C31" s="23">
        <f>IFERROR((YIELD(C7,C8,C9,C10,100,C12,C13)-CBNRates!C19)*10000,"—")</f>
        <v/>
      </c>
      <c r="D31" s="9" t="inlineStr">
        <is>
          <t>bps</t>
        </is>
      </c>
      <c r="E31" s="59" t="inlineStr">
        <is>
          <t xml:space="preserve">  Spread over the 10Y FGN benchmark — compensates for tenor / credit risk</t>
        </is>
      </c>
      <c r="F31" s="2" t="n"/>
    </row>
    <row r="32" ht="18" customHeight="1" s="108">
      <c r="A32" s="2" t="n"/>
      <c r="B32" s="4" t="inlineStr">
        <is>
          <t xml:space="preserve">  Total Coupon  Income  (₦)</t>
        </is>
      </c>
      <c r="C32" s="24">
        <f>IFERROR(C9*C11*YEARFRAC(C7,C8,1),"—")</f>
        <v/>
      </c>
      <c r="D32" s="5" t="inlineStr">
        <is>
          <t>₦</t>
        </is>
      </c>
      <c r="E32" s="57" t="inlineStr">
        <is>
          <t xml:space="preserve">  Gross coupon cash received from today to maturity (not discounted)</t>
        </is>
      </c>
      <c r="F32" s="2" t="n"/>
    </row>
    <row r="33" ht="18" customHeight="1" s="108">
      <c r="A33" s="2" t="n"/>
      <c r="B33" s="118" t="inlineStr">
        <is>
          <t xml:space="preserve">  Hold to Mat. Gross Return %</t>
        </is>
      </c>
      <c r="C33" s="32">
        <f>IFERROR((C9*YEARFRAC(C7,C8,1)*100+(100-C10))/C10,"—")</f>
        <v/>
      </c>
      <c r="D33" s="9" t="inlineStr">
        <is>
          <t>%</t>
        </is>
      </c>
      <c r="E33" s="59" t="inlineStr">
        <is>
          <t xml:space="preserve">  Simple total return if held to maturity (coupon + capital gain/loss)</t>
        </is>
      </c>
      <c r="F33" s="2" t="n"/>
    </row>
    <row r="34" ht="18" customHeight="1" s="108">
      <c r="A34" s="2" t="n"/>
      <c r="B34" s="4" t="inlineStr">
        <is>
          <t xml:space="preserve">  Signal</t>
        </is>
      </c>
      <c r="C34" s="38">
        <f>IFERROR(IF(YIELD(C7,C8,C9,C10,100,C12,C13)&gt;C16,"Real yield positive — bond earns above inflation","Real yield negative — bond loses real value"),"—")</f>
        <v/>
      </c>
      <c r="D34" s="16" t="n"/>
      <c r="E34" s="57" t="inlineStr">
        <is>
          <t xml:space="preserve">  Quick verdict on real return viability</t>
        </is>
      </c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</sheetData>
  <mergeCells count="4">
    <mergeCell ref="B5:E5"/>
    <mergeCell ref="B18:E18"/>
    <mergeCell ref="B3:E3"/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1A6B35"/>
    <outlinePr summaryBelow="1" summaryRight="1"/>
    <pageSetUpPr/>
  </sheetPr>
  <dimension ref="A1:M79"/>
  <sheetViews>
    <sheetView showGridLines="0" tabSelected="1" zoomScale="120" zoomScaleNormal="120" workbookViewId="0">
      <pane ySplit="5" topLeftCell="A6" activePane="bottomLeft" state="frozen"/>
      <selection activeCell="Q41" sqref="Q41"/>
      <selection pane="bottomLeft" activeCell="Q23" sqref="Q23"/>
    </sheetView>
  </sheetViews>
  <sheetFormatPr baseColWidth="10" defaultColWidth="8.83203125" defaultRowHeight="15"/>
  <cols>
    <col width="1.5" customWidth="1" style="108" min="1" max="1"/>
    <col width="26" customWidth="1" style="108" min="2" max="2"/>
    <col width="10" customWidth="1" style="108" min="3" max="3"/>
    <col width="11" customWidth="1" style="108" min="4" max="12"/>
    <col width="1.5" customWidth="1" style="108" min="13" max="13"/>
  </cols>
  <sheetData>
    <row r="1" ht="5" customHeight="1" s="10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6" customHeight="1" s="108">
      <c r="A2" s="1" t="n"/>
      <c r="B2" s="117" t="inlineStr">
        <is>
          <t>FGN EUROBOND TRACKER  —  USD-Denominated Sovereign Debt</t>
        </is>
      </c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" t="n"/>
    </row>
    <row r="3" ht="14" customHeight="1" s="108">
      <c r="A3" s="1" t="n"/>
      <c r="B3" s="127" t="inlineStr">
        <is>
          <t>Source: DMO Eurobond daily Excel  ·  Data as at: 15 May 2026  ·  Auto-refreshed: 18 May 2026  18:17</t>
        </is>
      </c>
      <c r="M3" s="1" t="n"/>
    </row>
    <row r="4">
      <c r="A4" s="1" t="n"/>
      <c r="B4" s="71">
        <f>COUNTA(B7:B17)-COUNTBLANK(B7:B17)</f>
        <v/>
      </c>
      <c r="C4" s="71">
        <f>IFERROR(AVERAGEIF(J7:J17,"&gt;0",J7:J17),0)</f>
        <v/>
      </c>
      <c r="D4" s="71">
        <f>IFERROR(SUM(G7:G17),0)</f>
        <v/>
      </c>
      <c r="E4" s="71">
        <f>IFERROR(_xludf.MINIFS(E7:E17,E7:E17,"&gt;"&amp;TODAY()),"—")</f>
        <v/>
      </c>
      <c r="F4" s="72" t="n"/>
      <c r="G4" s="1" t="n"/>
      <c r="H4" s="1" t="n"/>
      <c r="I4" s="1" t="n"/>
      <c r="J4" s="1" t="n"/>
      <c r="K4" s="1" t="n"/>
      <c r="L4" s="1" t="n"/>
      <c r="M4" s="1" t="n"/>
    </row>
    <row r="5" ht="16" customHeight="1" s="108">
      <c r="A5" s="1" t="n"/>
      <c r="B5" s="125" t="inlineStr">
        <is>
          <t>ACTIVE FGN EUROBONDS  ·  Source: DMO  dmo.gov.ng/fgn-bonds/fgn-bond-updates  ·  Update after each weekly DMO publication</t>
        </is>
      </c>
      <c r="C5" s="106" t="n"/>
      <c r="D5" s="106" t="n"/>
      <c r="E5" s="106" t="n"/>
      <c r="F5" s="106" t="n"/>
      <c r="G5" s="106" t="n"/>
      <c r="H5" s="106" t="n"/>
      <c r="I5" s="106" t="n"/>
      <c r="J5" s="106" t="n"/>
      <c r="K5" s="106" t="n"/>
      <c r="L5" s="106" t="n"/>
      <c r="M5" s="1" t="n"/>
    </row>
    <row r="6" ht="14" customHeight="1" s="108">
      <c r="A6" s="1" t="n"/>
      <c r="B6" s="68" t="inlineStr">
        <is>
          <t>Bond / ISIN</t>
        </is>
      </c>
      <c r="C6" s="68" t="inlineStr">
        <is>
          <t>Coupon %</t>
        </is>
      </c>
      <c r="D6" s="68" t="inlineStr">
        <is>
          <t>Issue Date</t>
        </is>
      </c>
      <c r="E6" s="68" t="inlineStr">
        <is>
          <t>Maturity</t>
        </is>
      </c>
      <c r="F6" s="68" t="inlineStr">
        <is>
          <t>Tenor (yr)</t>
        </is>
      </c>
      <c r="G6" s="68" t="inlineStr">
        <is>
          <t>Amount  $B</t>
        </is>
      </c>
      <c r="H6" s="68" t="inlineStr">
        <is>
          <t>Bid Price</t>
        </is>
      </c>
      <c r="I6" s="68" t="inlineStr">
        <is>
          <t>Ask Price</t>
        </is>
      </c>
      <c r="J6" s="68" t="inlineStr">
        <is>
          <t>Mid Yield %</t>
        </is>
      </c>
      <c r="K6" s="68" t="inlineStr">
        <is>
          <t>Spread vs UST bps</t>
        </is>
      </c>
      <c r="L6" s="68" t="inlineStr">
        <is>
          <t>Rating (Fitch/Moodys)</t>
        </is>
      </c>
      <c r="M6" s="1" t="n"/>
    </row>
    <row r="7" ht="16" customHeight="1" s="108">
      <c r="A7" s="1" t="n"/>
      <c r="B7" s="73" t="inlineStr">
        <is>
          <t xml:space="preserve">  6.500% FGN 2027</t>
        </is>
      </c>
      <c r="C7" s="35" t="n">
        <v>0.065</v>
      </c>
      <c r="D7" s="36" t="n">
        <v>43055</v>
      </c>
      <c r="E7" s="36" t="n">
        <v>46719</v>
      </c>
      <c r="F7" s="74">
        <f>IFERROR(YEARFRAC(D7,E7,1),"—")</f>
        <v/>
      </c>
      <c r="G7" s="51" t="n">
        <v>1.25</v>
      </c>
      <c r="H7" s="136" t="n">
        <v>101.247</v>
      </c>
      <c r="I7" s="75" t="n">
        <v>98.5</v>
      </c>
      <c r="J7" s="128" t="n">
        <v>0.05634</v>
      </c>
      <c r="K7" s="50" t="n">
        <v>320</v>
      </c>
      <c r="L7" s="76" t="inlineStr">
        <is>
          <t>B3 / B-</t>
        </is>
      </c>
      <c r="M7" s="1" t="n"/>
    </row>
    <row r="8" ht="16" customHeight="1" s="108">
      <c r="A8" s="1" t="n"/>
      <c r="B8" s="77" t="inlineStr">
        <is>
          <t xml:space="preserve">  7.875% FGN 2032</t>
        </is>
      </c>
      <c r="C8" s="35" t="n">
        <v>0.07875</v>
      </c>
      <c r="D8" s="36" t="n">
        <v>42783</v>
      </c>
      <c r="E8" s="36" t="n">
        <v>48260</v>
      </c>
      <c r="F8" s="78">
        <f>IFERROR(YEARFRAC(D8,E8,1),"—")</f>
        <v/>
      </c>
      <c r="G8" s="51" t="n">
        <v>1.5</v>
      </c>
      <c r="H8" s="136" t="n">
        <v>105.206</v>
      </c>
      <c r="I8" s="75" t="n">
        <v>92.7</v>
      </c>
      <c r="J8" s="128" t="n">
        <v>0.06762</v>
      </c>
      <c r="K8" s="50" t="n">
        <v>420</v>
      </c>
      <c r="L8" s="79" t="inlineStr">
        <is>
          <t>B3 / B-</t>
        </is>
      </c>
      <c r="M8" s="1" t="n"/>
    </row>
    <row r="9" ht="16" customHeight="1" s="108">
      <c r="A9" s="1" t="n"/>
      <c r="B9" s="73" t="inlineStr">
        <is>
          <t xml:space="preserve">  8.747% FGN 2031</t>
        </is>
      </c>
      <c r="C9" s="35" t="n">
        <v>0.08747000000000001</v>
      </c>
      <c r="D9" s="36" t="n">
        <v>44217</v>
      </c>
      <c r="E9" s="36" t="n">
        <v>47869</v>
      </c>
      <c r="F9" s="74">
        <f>IFERROR(YEARFRAC(D9,E9,1),"—")</f>
        <v/>
      </c>
      <c r="G9" s="51" t="n">
        <v>1.25</v>
      </c>
      <c r="H9" s="136" t="n">
        <v>108.276</v>
      </c>
      <c r="I9" s="75" t="n">
        <v>96.90000000000001</v>
      </c>
      <c r="J9" s="128" t="n">
        <v>0.06653000000000001</v>
      </c>
      <c r="K9" s="50" t="n">
        <v>430</v>
      </c>
      <c r="L9" s="76" t="inlineStr">
        <is>
          <t>B3 / B-</t>
        </is>
      </c>
      <c r="M9" s="1" t="n"/>
    </row>
    <row r="10" ht="16" customHeight="1" s="108">
      <c r="A10" s="1" t="n"/>
      <c r="B10" s="77" t="inlineStr">
        <is>
          <t xml:space="preserve">  7.696% FGN 2032</t>
        </is>
      </c>
      <c r="C10" s="35" t="n">
        <v>0.07696</v>
      </c>
      <c r="D10" s="36" t="n">
        <v>44615</v>
      </c>
      <c r="E10" s="36" t="n">
        <v>48267</v>
      </c>
      <c r="F10" s="78">
        <f>IFERROR(YEARFRAC(D10,E10,1),"—")</f>
        <v/>
      </c>
      <c r="G10" s="51" t="n">
        <v>1.25</v>
      </c>
      <c r="H10" s="136" t="n">
        <v>102.007</v>
      </c>
      <c r="I10" s="75" t="n">
        <v>91.90000000000001</v>
      </c>
      <c r="J10" s="128" t="n">
        <v>0.07435</v>
      </c>
      <c r="K10" s="50" t="n">
        <v>425</v>
      </c>
      <c r="L10" s="79" t="inlineStr">
        <is>
          <t>B3 / B-</t>
        </is>
      </c>
      <c r="M10" s="1" t="n"/>
    </row>
    <row r="11" ht="16" customHeight="1" s="108">
      <c r="A11" s="1" t="n"/>
      <c r="B11" s="73" t="inlineStr">
        <is>
          <t xml:space="preserve">  8.375% FGN 2029</t>
        </is>
      </c>
      <c r="C11" s="35" t="n">
        <v>0.08375</v>
      </c>
      <c r="D11" s="36" t="n">
        <v>43553</v>
      </c>
      <c r="E11" s="36" t="n">
        <v>47201</v>
      </c>
      <c r="F11" s="74">
        <f>IFERROR(YEARFRAC(D11,E11,1),"—")</f>
        <v/>
      </c>
      <c r="G11" s="51" t="n">
        <v>1.5</v>
      </c>
      <c r="H11" s="136" t="n">
        <v>106.616</v>
      </c>
      <c r="I11" s="75" t="n">
        <v>97.2</v>
      </c>
      <c r="J11" s="128" t="n">
        <v>0.05815</v>
      </c>
      <c r="K11" s="50" t="n">
        <v>390</v>
      </c>
      <c r="L11" s="76" t="inlineStr">
        <is>
          <t>B3 / B-</t>
        </is>
      </c>
      <c r="M11" s="1" t="n"/>
    </row>
    <row r="12" ht="16" customHeight="1" s="108">
      <c r="A12" s="1" t="n"/>
      <c r="B12" s="77" t="inlineStr">
        <is>
          <t xml:space="preserve">  7.375% FGN 2028</t>
        </is>
      </c>
      <c r="C12" s="35" t="n">
        <v>0.07375</v>
      </c>
      <c r="D12" s="36" t="n">
        <v>44467</v>
      </c>
      <c r="E12" s="36" t="n">
        <v>47024</v>
      </c>
      <c r="F12" s="78">
        <f>IFERROR(YEARFRAC(D12,E12,1),"—")</f>
        <v/>
      </c>
      <c r="G12" s="51" t="n">
        <v>1.25</v>
      </c>
      <c r="H12" s="136" t="n">
        <v>102.103</v>
      </c>
      <c r="I12" s="75" t="n">
        <v>95.59999999999999</v>
      </c>
      <c r="J12" s="128" t="n">
        <v>0.07002</v>
      </c>
      <c r="K12" s="50" t="n">
        <v>360</v>
      </c>
      <c r="L12" s="79" t="inlineStr">
        <is>
          <t>B3 / B-</t>
        </is>
      </c>
      <c r="M12" s="1" t="n"/>
    </row>
    <row r="13" ht="16" customHeight="1" s="108">
      <c r="A13" s="1" t="n"/>
      <c r="B13" s="73" t="inlineStr">
        <is>
          <t xml:space="preserve">  9.248% FGN 2033</t>
        </is>
      </c>
      <c r="C13" s="35" t="n">
        <v>0.09248000000000001</v>
      </c>
      <c r="D13" s="36" t="n">
        <v>44945</v>
      </c>
      <c r="E13" s="36" t="n">
        <v>48598</v>
      </c>
      <c r="F13" s="74">
        <f>IFERROR(YEARFRAC(D13,E13,1),"—")</f>
        <v/>
      </c>
      <c r="G13" s="51" t="n">
        <v>1.5</v>
      </c>
      <c r="H13" s="136" t="n">
        <v>112.124</v>
      </c>
      <c r="I13" s="75" t="n">
        <v>98.8</v>
      </c>
      <c r="J13" s="128" t="n">
        <v>0.08072</v>
      </c>
      <c r="K13" s="50" t="n">
        <v>440</v>
      </c>
      <c r="L13" s="76" t="inlineStr">
        <is>
          <t>B3 / B-</t>
        </is>
      </c>
      <c r="M13" s="1" t="n"/>
    </row>
    <row r="14" ht="16" customHeight="1" s="108">
      <c r="A14" s="1" t="n"/>
      <c r="B14" s="77" t="inlineStr">
        <is>
          <t xml:space="preserve">  9.999% FGN 2033</t>
        </is>
      </c>
      <c r="C14" s="35" t="n">
        <v>0.09999</v>
      </c>
      <c r="D14" s="36" t="n">
        <v>44945</v>
      </c>
      <c r="E14" s="36" t="n">
        <v>48688</v>
      </c>
      <c r="F14" s="78">
        <f>IFERROR(YEARFRAC(D14,E14,1),"—")</f>
        <v/>
      </c>
      <c r="G14" s="51" t="n">
        <v>1.75</v>
      </c>
      <c r="H14" s="91" t="n">
        <v>120.926</v>
      </c>
      <c r="I14" s="75" t="n">
        <v>100.9</v>
      </c>
      <c r="J14" s="35" t="n">
        <v>0.0708</v>
      </c>
      <c r="K14" s="50" t="n">
        <v>490</v>
      </c>
      <c r="L14" s="79" t="inlineStr">
        <is>
          <t>B3 / B-</t>
        </is>
      </c>
      <c r="M14" s="1" t="n"/>
    </row>
    <row r="15" ht="16" customHeight="1" s="108">
      <c r="A15" s="1" t="n"/>
      <c r="B15" s="73" t="inlineStr">
        <is>
          <t xml:space="preserve">  7.625% FGN 2047</t>
        </is>
      </c>
      <c r="C15" s="35" t="n">
        <v>0.07625</v>
      </c>
      <c r="D15" s="36" t="n">
        <v>43055</v>
      </c>
      <c r="E15" s="36" t="n">
        <v>54024</v>
      </c>
      <c r="F15" s="74">
        <f>IFERROR(YEARFRAC(D15,E15,1),"—")</f>
        <v/>
      </c>
      <c r="G15" s="51" t="n">
        <v>1.5</v>
      </c>
      <c r="H15" s="136" t="n">
        <v>97.613</v>
      </c>
      <c r="I15" s="75" t="n">
        <v>78</v>
      </c>
      <c r="J15" s="128" t="n">
        <v>0.07856</v>
      </c>
      <c r="K15" s="50" t="n">
        <v>490</v>
      </c>
      <c r="L15" s="76" t="inlineStr">
        <is>
          <t>B3 / B-</t>
        </is>
      </c>
      <c r="M15" s="1" t="n"/>
    </row>
    <row r="16" ht="16" customHeight="1" s="108">
      <c r="A16" s="1" t="n"/>
      <c r="B16" s="77" t="inlineStr">
        <is>
          <t xml:space="preserve">  8.250% FGN 2051</t>
        </is>
      </c>
      <c r="C16" s="35" t="n">
        <v>0.0825</v>
      </c>
      <c r="D16" s="36" t="n">
        <v>44467</v>
      </c>
      <c r="E16" s="36" t="n">
        <v>55424</v>
      </c>
      <c r="F16" s="78">
        <f>IFERROR(YEARFRAC(D16,E16,1),"—")</f>
        <v/>
      </c>
      <c r="G16" s="51" t="n">
        <v>1.25</v>
      </c>
      <c r="H16" s="136" t="n">
        <v>101.114</v>
      </c>
      <c r="I16" s="75" t="n">
        <v>79.7</v>
      </c>
      <c r="J16" s="128" t="n">
        <v>0.08144</v>
      </c>
      <c r="K16" s="50" t="n">
        <v>540</v>
      </c>
      <c r="L16" s="79" t="inlineStr">
        <is>
          <t>B3 / B-</t>
        </is>
      </c>
      <c r="M16" s="1" t="n"/>
    </row>
    <row r="17" ht="16" customHeight="1" s="108">
      <c r="A17" s="1" t="n"/>
      <c r="B17" s="73" t="inlineStr">
        <is>
          <t xml:space="preserve">  $4.0B FGN 2030/2034 (Apr 2026)</t>
        </is>
      </c>
      <c r="C17" s="35" t="inlineStr">
        <is>
          <t>TBD</t>
        </is>
      </c>
      <c r="D17" s="36" t="n">
        <v>46113</v>
      </c>
      <c r="E17" s="36" t="n">
        <v>47939</v>
      </c>
      <c r="F17" s="74">
        <f>IFERROR(YEARFRAC(D17,E17,1),"—")</f>
        <v/>
      </c>
      <c r="G17" s="51" t="n">
        <v>4</v>
      </c>
      <c r="H17" s="91" t="n">
        <v>113.539</v>
      </c>
      <c r="I17" s="75" t="n">
        <v>100.4</v>
      </c>
      <c r="J17" s="35" t="n">
        <v>0.06458</v>
      </c>
      <c r="K17" s="50" t="inlineStr">
        <is>
          <t>TBD</t>
        </is>
      </c>
      <c r="L17" s="76" t="inlineStr">
        <is>
          <t>B3 / B-</t>
        </is>
      </c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16" customHeight="1" s="108">
      <c r="A19" s="1" t="n"/>
      <c r="B19" s="125" t="inlineStr">
        <is>
          <t>EUROBOND ANALYTICS  —  Spread analysis and portfolio metrics</t>
        </is>
      </c>
      <c r="C19" s="106" t="n"/>
      <c r="D19" s="106" t="n"/>
      <c r="E19" s="106" t="n"/>
      <c r="F19" s="106" t="n"/>
      <c r="G19" s="106" t="n"/>
      <c r="H19" s="106" t="n"/>
      <c r="I19" s="106" t="n"/>
      <c r="J19" s="106" t="n"/>
      <c r="K19" s="106" t="n"/>
      <c r="L19" s="106" t="n"/>
      <c r="M19" s="1" t="n"/>
    </row>
    <row r="20" ht="13" customHeight="1" s="108">
      <c r="A20" s="1" t="n"/>
      <c r="B20" s="80" t="inlineStr">
        <is>
          <t>Bond</t>
        </is>
      </c>
      <c r="C20" s="80" t="inlineStr">
        <is>
          <t>Mid Yield %</t>
        </is>
      </c>
      <c r="D20" s="80" t="inlineStr">
        <is>
          <t>vs 5Y UST bps</t>
        </is>
      </c>
      <c r="E20" s="80" t="inlineStr">
        <is>
          <t>vs 10Y UST bps</t>
        </is>
      </c>
      <c r="F20" s="80" t="inlineStr">
        <is>
          <t>Days to Mat.</t>
        </is>
      </c>
      <c r="G20" s="80" t="inlineStr">
        <is>
          <t>Real Yield (USD)</t>
        </is>
      </c>
      <c r="H20" s="80" t="inlineStr">
        <is>
          <t>Bid-Ask Spread</t>
        </is>
      </c>
      <c r="I20" s="80" t="inlineStr">
        <is>
          <t>Approx. Price dur.</t>
        </is>
      </c>
      <c r="J20" s="80" t="inlineStr">
        <is>
          <t>WHT Applicable</t>
        </is>
      </c>
      <c r="K20" s="80" t="inlineStr">
        <is>
          <t>DMO Data URL</t>
        </is>
      </c>
      <c r="L20" s="80" t="inlineStr">
        <is>
          <t>Last Updated</t>
        </is>
      </c>
      <c r="M20" s="1" t="n"/>
    </row>
    <row r="21" ht="16" customHeight="1" s="108">
      <c r="A21" s="1" t="n"/>
      <c r="B21" s="81">
        <f>B7</f>
        <v/>
      </c>
      <c r="C21" s="82">
        <f>J7</f>
        <v/>
      </c>
      <c r="D21" s="83">
        <f>IFERROR((J7-0.0428)*10000,"—")</f>
        <v/>
      </c>
      <c r="E21" s="83">
        <f>IFERROR((J7-0.0437)*10000,"—")</f>
        <v/>
      </c>
      <c r="F21" s="83">
        <f>IFERROR(E7-TODAY(),"—")</f>
        <v/>
      </c>
      <c r="G21" s="82">
        <f>IFERROR(J7-0.032,"—")</f>
        <v/>
      </c>
      <c r="H21" s="84">
        <f>IFERROR(I7-H7,"—")</f>
        <v/>
      </c>
      <c r="I21" s="84">
        <f>IFERROR(-MDURATION(TODAY(),E7,C7,J7,2,1)*(0.001)*H7,"—")</f>
        <v/>
      </c>
      <c r="J21" s="76" t="inlineStr">
        <is>
          <t>No (Eurobonds exempt)</t>
        </is>
      </c>
      <c r="K21" s="85" t="inlineStr">
        <is>
          <t>dmo.gov.ng/fgn-bonds/fgn-bond-updates</t>
        </is>
      </c>
      <c r="L21" s="86" t="inlineStr">
        <is>
          <t>Update weekly from DMO</t>
        </is>
      </c>
      <c r="M21" s="1" t="n"/>
    </row>
    <row r="22" ht="16" customHeight="1" s="108">
      <c r="A22" s="1" t="n"/>
      <c r="B22" s="87">
        <f>B8</f>
        <v/>
      </c>
      <c r="C22" s="65">
        <f>J8</f>
        <v/>
      </c>
      <c r="D22" s="64">
        <f>IFERROR((J8-0.0428)*10000,"—")</f>
        <v/>
      </c>
      <c r="E22" s="64">
        <f>IFERROR((J8-0.0437)*10000,"—")</f>
        <v/>
      </c>
      <c r="F22" s="64">
        <f>IFERROR(E8-TODAY(),"—")</f>
        <v/>
      </c>
      <c r="G22" s="65">
        <f>IFERROR(J8-0.032,"—")</f>
        <v/>
      </c>
      <c r="H22" s="88">
        <f>IFERROR(I8-H8,"—")</f>
        <v/>
      </c>
      <c r="I22" s="88">
        <f>IFERROR(-MDURATION(TODAY(),E8,C8,J8,2,1)*(0.001)*H8,"—")</f>
        <v/>
      </c>
      <c r="J22" s="79" t="inlineStr">
        <is>
          <t>No (Eurobonds exempt)</t>
        </is>
      </c>
      <c r="K22" s="89" t="inlineStr">
        <is>
          <t>dmo.gov.ng/fgn-bonds/fgn-bond-updates</t>
        </is>
      </c>
      <c r="L22" s="90" t="inlineStr">
        <is>
          <t>Update weekly from DMO</t>
        </is>
      </c>
      <c r="M22" s="1" t="n"/>
    </row>
    <row r="23" ht="16" customHeight="1" s="108">
      <c r="A23" s="1" t="n"/>
      <c r="B23" s="81">
        <f>B9</f>
        <v/>
      </c>
      <c r="C23" s="82">
        <f>J9</f>
        <v/>
      </c>
      <c r="D23" s="83">
        <f>IFERROR((J9-0.0428)*10000,"—")</f>
        <v/>
      </c>
      <c r="E23" s="83">
        <f>IFERROR((J9-0.0437)*10000,"—")</f>
        <v/>
      </c>
      <c r="F23" s="83">
        <f>IFERROR(E9-TODAY(),"—")</f>
        <v/>
      </c>
      <c r="G23" s="82">
        <f>IFERROR(J9-0.032,"—")</f>
        <v/>
      </c>
      <c r="H23" s="84">
        <f>IFERROR(I9-H9,"—")</f>
        <v/>
      </c>
      <c r="I23" s="84">
        <f>IFERROR(-MDURATION(TODAY(),E9,C9,J9,2,1)*(0.001)*H9,"—")</f>
        <v/>
      </c>
      <c r="J23" s="76" t="inlineStr">
        <is>
          <t>No (Eurobonds exempt)</t>
        </is>
      </c>
      <c r="K23" s="85" t="inlineStr">
        <is>
          <t>dmo.gov.ng/fgn-bonds/fgn-bond-updates</t>
        </is>
      </c>
      <c r="L23" s="86" t="inlineStr">
        <is>
          <t>Update weekly from DMO</t>
        </is>
      </c>
      <c r="M23" s="1" t="n"/>
    </row>
    <row r="24" ht="16" customHeight="1" s="108">
      <c r="A24" s="1" t="n"/>
      <c r="B24" s="87">
        <f>B10</f>
        <v/>
      </c>
      <c r="C24" s="65">
        <f>J10</f>
        <v/>
      </c>
      <c r="D24" s="64">
        <f>IFERROR((J10-0.0428)*10000,"—")</f>
        <v/>
      </c>
      <c r="E24" s="64">
        <f>IFERROR((J10-0.0437)*10000,"—")</f>
        <v/>
      </c>
      <c r="F24" s="64">
        <f>IFERROR(E10-TODAY(),"—")</f>
        <v/>
      </c>
      <c r="G24" s="65">
        <f>IFERROR(J10-0.032,"—")</f>
        <v/>
      </c>
      <c r="H24" s="88">
        <f>IFERROR(I10-H10,"—")</f>
        <v/>
      </c>
      <c r="I24" s="88">
        <f>IFERROR(-MDURATION(TODAY(),E10,C10,J10,2,1)*(0.001)*H10,"—")</f>
        <v/>
      </c>
      <c r="J24" s="79" t="inlineStr">
        <is>
          <t>No (Eurobonds exempt)</t>
        </is>
      </c>
      <c r="K24" s="89" t="inlineStr">
        <is>
          <t>dmo.gov.ng/fgn-bonds/fgn-bond-updates</t>
        </is>
      </c>
      <c r="L24" s="90" t="inlineStr">
        <is>
          <t>Update weekly from DMO</t>
        </is>
      </c>
      <c r="M24" s="1" t="n"/>
    </row>
    <row r="25" ht="16" customHeight="1" s="108">
      <c r="A25" s="1" t="n"/>
      <c r="B25" s="81">
        <f>B11</f>
        <v/>
      </c>
      <c r="C25" s="82">
        <f>J11</f>
        <v/>
      </c>
      <c r="D25" s="83">
        <f>IFERROR((J11-0.0428)*10000,"—")</f>
        <v/>
      </c>
      <c r="E25" s="83">
        <f>IFERROR((J11-0.0437)*10000,"—")</f>
        <v/>
      </c>
      <c r="F25" s="83">
        <f>IFERROR(E11-TODAY(),"—")</f>
        <v/>
      </c>
      <c r="G25" s="82">
        <f>IFERROR(J11-0.032,"—")</f>
        <v/>
      </c>
      <c r="H25" s="84">
        <f>IFERROR(I11-H11,"—")</f>
        <v/>
      </c>
      <c r="I25" s="84">
        <f>IFERROR(-MDURATION(TODAY(),E11,C11,J11,2,1)*(0.001)*H11,"—")</f>
        <v/>
      </c>
      <c r="J25" s="76" t="inlineStr">
        <is>
          <t>No (Eurobonds exempt)</t>
        </is>
      </c>
      <c r="K25" s="85" t="inlineStr">
        <is>
          <t>dmo.gov.ng/fgn-bonds/fgn-bond-updates</t>
        </is>
      </c>
      <c r="L25" s="86" t="inlineStr">
        <is>
          <t>Update weekly from DMO</t>
        </is>
      </c>
      <c r="M25" s="1" t="n"/>
    </row>
    <row r="26" ht="16" customHeight="1" s="108">
      <c r="A26" s="1" t="n"/>
      <c r="B26" s="87">
        <f>B12</f>
        <v/>
      </c>
      <c r="C26" s="65">
        <f>J12</f>
        <v/>
      </c>
      <c r="D26" s="64">
        <f>IFERROR((J12-0.0428)*10000,"—")</f>
        <v/>
      </c>
      <c r="E26" s="64">
        <f>IFERROR((J12-0.0437)*10000,"—")</f>
        <v/>
      </c>
      <c r="F26" s="64">
        <f>IFERROR(E12-TODAY(),"—")</f>
        <v/>
      </c>
      <c r="G26" s="65">
        <f>IFERROR(J12-0.032,"—")</f>
        <v/>
      </c>
      <c r="H26" s="88">
        <f>IFERROR(I12-H12,"—")</f>
        <v/>
      </c>
      <c r="I26" s="88">
        <f>IFERROR(-MDURATION(TODAY(),E12,C12,J12,2,1)*(0.001)*H12,"—")</f>
        <v/>
      </c>
      <c r="J26" s="79" t="inlineStr">
        <is>
          <t>No (Eurobonds exempt)</t>
        </is>
      </c>
      <c r="K26" s="89" t="inlineStr">
        <is>
          <t>dmo.gov.ng/fgn-bonds/fgn-bond-updates</t>
        </is>
      </c>
      <c r="L26" s="90" t="inlineStr">
        <is>
          <t>Update weekly from DMO</t>
        </is>
      </c>
      <c r="M26" s="1" t="n"/>
    </row>
    <row r="27" ht="16" customHeight="1" s="108">
      <c r="A27" s="1" t="n"/>
      <c r="B27" s="81">
        <f>B13</f>
        <v/>
      </c>
      <c r="C27" s="82">
        <f>J13</f>
        <v/>
      </c>
      <c r="D27" s="83">
        <f>IFERROR((J13-0.0428)*10000,"—")</f>
        <v/>
      </c>
      <c r="E27" s="83">
        <f>IFERROR((J13-0.0437)*10000,"—")</f>
        <v/>
      </c>
      <c r="F27" s="83">
        <f>IFERROR(E13-TODAY(),"—")</f>
        <v/>
      </c>
      <c r="G27" s="82">
        <f>IFERROR(J13-0.032,"—")</f>
        <v/>
      </c>
      <c r="H27" s="84">
        <f>IFERROR(I13-H13,"—")</f>
        <v/>
      </c>
      <c r="I27" s="84">
        <f>IFERROR(-MDURATION(TODAY(),E13,C13,J13,2,1)*(0.001)*H13,"—")</f>
        <v/>
      </c>
      <c r="J27" s="76" t="inlineStr">
        <is>
          <t>No (Eurobonds exempt)</t>
        </is>
      </c>
      <c r="K27" s="85" t="inlineStr">
        <is>
          <t>dmo.gov.ng/fgn-bonds/fgn-bond-updates</t>
        </is>
      </c>
      <c r="L27" s="86" t="inlineStr">
        <is>
          <t>Update weekly from DMO</t>
        </is>
      </c>
      <c r="M27" s="1" t="n"/>
    </row>
    <row r="28" ht="16" customHeight="1" s="108">
      <c r="A28" s="1" t="n"/>
      <c r="B28" s="87">
        <f>B14</f>
        <v/>
      </c>
      <c r="C28" s="65">
        <f>J14</f>
        <v/>
      </c>
      <c r="D28" s="64">
        <f>IFERROR((J14-0.0428)*10000,"—")</f>
        <v/>
      </c>
      <c r="E28" s="64">
        <f>IFERROR((J14-0.0437)*10000,"—")</f>
        <v/>
      </c>
      <c r="F28" s="64">
        <f>IFERROR(E14-TODAY(),"—")</f>
        <v/>
      </c>
      <c r="G28" s="65">
        <f>IFERROR(J14-0.032,"—")</f>
        <v/>
      </c>
      <c r="H28" s="88">
        <f>IFERROR(I14-H14,"—")</f>
        <v/>
      </c>
      <c r="I28" s="88">
        <f>IFERROR(-MDURATION(TODAY(),E14,C14,J14,2,1)*(0.001)*H14,"—")</f>
        <v/>
      </c>
      <c r="J28" s="79" t="inlineStr">
        <is>
          <t>No (Eurobonds exempt)</t>
        </is>
      </c>
      <c r="K28" s="89" t="inlineStr">
        <is>
          <t>dmo.gov.ng/fgn-bonds/fgn-bond-updates</t>
        </is>
      </c>
      <c r="L28" s="90" t="inlineStr">
        <is>
          <t>Update weekly from DMO</t>
        </is>
      </c>
      <c r="M28" s="1" t="n"/>
    </row>
    <row r="29" ht="16" customHeight="1" s="108">
      <c r="A29" s="1" t="n"/>
      <c r="B29" s="81">
        <f>B15</f>
        <v/>
      </c>
      <c r="C29" s="82">
        <f>J15</f>
        <v/>
      </c>
      <c r="D29" s="83">
        <f>IFERROR((J15-0.0428)*10000,"—")</f>
        <v/>
      </c>
      <c r="E29" s="83">
        <f>IFERROR((J15-0.0437)*10000,"—")</f>
        <v/>
      </c>
      <c r="F29" s="83">
        <f>IFERROR(E15-TODAY(),"—")</f>
        <v/>
      </c>
      <c r="G29" s="82">
        <f>IFERROR(J15-0.032,"—")</f>
        <v/>
      </c>
      <c r="H29" s="84">
        <f>IFERROR(I15-H15,"—")</f>
        <v/>
      </c>
      <c r="I29" s="84">
        <f>IFERROR(-MDURATION(TODAY(),E15,C15,J15,2,1)*(0.001)*H15,"—")</f>
        <v/>
      </c>
      <c r="J29" s="76" t="inlineStr">
        <is>
          <t>No (Eurobonds exempt)</t>
        </is>
      </c>
      <c r="K29" s="85" t="inlineStr">
        <is>
          <t>dmo.gov.ng/fgn-bonds/fgn-bond-updates</t>
        </is>
      </c>
      <c r="L29" s="86" t="inlineStr">
        <is>
          <t>Update weekly from DMO</t>
        </is>
      </c>
      <c r="M29" s="1" t="n"/>
    </row>
    <row r="30" ht="16" customHeight="1" s="108">
      <c r="A30" s="1" t="n"/>
      <c r="B30" s="87">
        <f>B16</f>
        <v/>
      </c>
      <c r="C30" s="65">
        <f>J16</f>
        <v/>
      </c>
      <c r="D30" s="64">
        <f>IFERROR((J16-0.0428)*10000,"—")</f>
        <v/>
      </c>
      <c r="E30" s="64">
        <f>IFERROR((J16-0.0437)*10000,"—")</f>
        <v/>
      </c>
      <c r="F30" s="64">
        <f>IFERROR(E16-TODAY(),"—")</f>
        <v/>
      </c>
      <c r="G30" s="65">
        <f>IFERROR(J16-0.032,"—")</f>
        <v/>
      </c>
      <c r="H30" s="88">
        <f>IFERROR(I16-H16,"—")</f>
        <v/>
      </c>
      <c r="I30" s="88">
        <f>IFERROR(-MDURATION(TODAY(),E16,C16,J16,2,1)*(0.001)*H16,"—")</f>
        <v/>
      </c>
      <c r="J30" s="79" t="inlineStr">
        <is>
          <t>No (Eurobonds exempt)</t>
        </is>
      </c>
      <c r="K30" s="89" t="inlineStr">
        <is>
          <t>dmo.gov.ng/fgn-bonds/fgn-bond-updates</t>
        </is>
      </c>
      <c r="L30" s="90" t="inlineStr">
        <is>
          <t>Update weekly from DMO</t>
        </is>
      </c>
      <c r="M30" s="1" t="n"/>
    </row>
    <row r="31" ht="16" customHeight="1" s="108">
      <c r="A31" s="1" t="n"/>
      <c r="B31" s="81">
        <f>B17</f>
        <v/>
      </c>
      <c r="C31" s="82">
        <f>J17</f>
        <v/>
      </c>
      <c r="D31" s="83">
        <f>IFERROR((J17-0.0428)*10000,"—")</f>
        <v/>
      </c>
      <c r="E31" s="83">
        <f>IFERROR((J17-0.0437)*10000,"—")</f>
        <v/>
      </c>
      <c r="F31" s="83">
        <f>IFERROR(E17-TODAY(),"—")</f>
        <v/>
      </c>
      <c r="G31" s="82">
        <f>IFERROR(J17-0.032,"—")</f>
        <v/>
      </c>
      <c r="H31" s="84">
        <f>IFERROR(I17-H17,"—")</f>
        <v/>
      </c>
      <c r="I31" s="84">
        <f>IFERROR(-MDURATION(TODAY(),E17,C17,J17,2,1)*(0.001)*H17,"—")</f>
        <v/>
      </c>
      <c r="J31" s="76" t="inlineStr">
        <is>
          <t>No (Eurobonds exempt)</t>
        </is>
      </c>
      <c r="K31" s="85" t="inlineStr">
        <is>
          <t>dmo.gov.ng/fgn-bonds/fgn-bond-updates</t>
        </is>
      </c>
      <c r="L31" s="86" t="inlineStr">
        <is>
          <t>Update weekly from DMO</t>
        </is>
      </c>
      <c r="M31" s="1" t="n"/>
    </row>
    <row r="32">
      <c r="A32" s="1" t="n"/>
      <c r="B32" s="126" t="inlineStr">
        <is>
          <t xml:space="preserve">  Prices and yields are indicative. Source: DMO weekly publications at dmo.gov.ng/fgn-bonds/fgn-bond-updates  ·  Update after each Friday DMO release  ·  Not financial advice.</t>
        </is>
      </c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</sheetData>
  <mergeCells count="5">
    <mergeCell ref="B3:L3"/>
    <mergeCell ref="B2:L2"/>
    <mergeCell ref="B19:L19"/>
    <mergeCell ref="B5:L5"/>
    <mergeCell ref="B32:L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6B7280"/>
    <outlinePr summaryBelow="1" summaryRight="1"/>
    <pageSetUpPr/>
  </sheetPr>
  <dimension ref="A1:E100"/>
  <sheetViews>
    <sheetView showGridLines="0" topLeftCell="A30" zoomScale="90" workbookViewId="0">
      <selection activeCell="Q41" sqref="Q41"/>
    </sheetView>
  </sheetViews>
  <sheetFormatPr baseColWidth="10" defaultColWidth="8.83203125" defaultRowHeight="15"/>
  <cols>
    <col width="1.5" customWidth="1" style="108" min="1" max="1"/>
    <col width="28" customWidth="1" style="108" min="2" max="2"/>
    <col width="18" customWidth="1" style="108" min="3" max="3"/>
    <col width="36" customWidth="1" style="108" min="4" max="4"/>
    <col width="1.5" customWidth="1" style="108" min="5" max="5"/>
  </cols>
  <sheetData>
    <row r="1">
      <c r="A1" s="2" t="n"/>
      <c r="B1" s="2" t="n"/>
      <c r="C1" s="2" t="n"/>
      <c r="D1" s="2" t="n"/>
      <c r="E1" s="2" t="n"/>
    </row>
    <row r="2" ht="22" customHeight="1" s="108">
      <c r="A2" s="2" t="n"/>
      <c r="B2" s="109" t="inlineStr">
        <is>
          <t>DATA  GUIDE  —  How to Update This Workbook with Live Market Data</t>
        </is>
      </c>
      <c r="C2" s="106" t="n"/>
      <c r="D2" s="106" t="n"/>
      <c r="E2" s="2" t="n"/>
    </row>
    <row r="3" ht="14" customHeight="1" s="108">
      <c r="A3" s="2" t="n"/>
      <c r="B3" s="107" t="inlineStr">
        <is>
          <t>Step-by-step instructions for refreshing every data source. FMDQ requires manual copy; DMO and CBN are web-accessible.</t>
        </is>
      </c>
      <c r="E3" s="2" t="n"/>
    </row>
    <row r="4">
      <c r="A4" s="2" t="n"/>
      <c r="B4" s="2" t="n"/>
      <c r="C4" s="2" t="n"/>
      <c r="D4" s="2" t="n"/>
      <c r="E4" s="2" t="n"/>
    </row>
    <row r="5" ht="16" customHeight="1" s="108">
      <c r="A5" s="2" t="n"/>
      <c r="B5" s="105" t="inlineStr">
        <is>
          <t>STEP 1 — CBN RATES  (takes ~5 mins)</t>
        </is>
      </c>
      <c r="C5" s="106" t="n"/>
      <c r="D5" s="106" t="n"/>
      <c r="E5" s="2" t="n"/>
    </row>
    <row r="6" ht="13" customHeight="1" s="108">
      <c r="A6" s="2" t="n"/>
      <c r="B6" s="10" t="inlineStr">
        <is>
          <t>Type / Step</t>
        </is>
      </c>
      <c r="C6" s="10" t="inlineStr">
        <is>
          <t>Value / URL</t>
        </is>
      </c>
      <c r="D6" s="10" t="inlineStr">
        <is>
          <t>Instructions / Notes</t>
        </is>
      </c>
      <c r="E6" s="2" t="n"/>
    </row>
    <row r="7" ht="22" customHeight="1" s="108">
      <c r="A7" s="2" t="n"/>
      <c r="B7" s="4" t="inlineStr">
        <is>
          <t xml:space="preserve">  URL</t>
        </is>
      </c>
      <c r="C7" s="14" t="inlineStr">
        <is>
          <t xml:space="preserve">  https://www.cbn.gov.ng/rates/GovtSecurities.html</t>
        </is>
      </c>
      <c r="D7" s="57" t="inlineStr">
        <is>
          <t xml:space="preserve">  Go to this page for T-bill stop rates after each auction</t>
        </is>
      </c>
      <c r="E7" s="2" t="n"/>
    </row>
    <row r="8" ht="22" customHeight="1" s="108">
      <c r="A8" s="2" t="n"/>
      <c r="B8" s="118" t="inlineStr">
        <is>
          <t xml:space="preserve">  URL</t>
        </is>
      </c>
      <c r="C8" s="13" t="inlineStr">
        <is>
          <t xml:space="preserve">  https://www.cbn.gov.ng/monetary</t>
        </is>
      </c>
      <c r="D8" s="59" t="inlineStr">
        <is>
          <t xml:space="preserve">  CBN MPC press releases — MPR after each bi-monthly meeting</t>
        </is>
      </c>
      <c r="E8" s="2" t="n"/>
    </row>
    <row r="9" ht="22" customHeight="1" s="108">
      <c r="A9" s="2" t="n"/>
      <c r="B9" s="4" t="inlineStr">
        <is>
          <t xml:space="preserve">  Action</t>
        </is>
      </c>
      <c r="C9" s="14" t="inlineStr">
        <is>
          <t xml:space="preserve">  Copy T-bill stop rates</t>
        </is>
      </c>
      <c r="D9" s="57" t="inlineStr">
        <is>
          <t xml:space="preserve">  Paste into CBNRates sheet (column C = current, D = prior month)</t>
        </is>
      </c>
      <c r="E9" s="2" t="n"/>
    </row>
    <row r="10" ht="22" customHeight="1" s="108">
      <c r="A10" s="2" t="n"/>
      <c r="B10" s="118" t="inlineStr">
        <is>
          <t xml:space="preserve">  Action</t>
        </is>
      </c>
      <c r="C10" s="13" t="inlineStr">
        <is>
          <t xml:space="preserve">  Copy inflation figure</t>
        </is>
      </c>
      <c r="D10" s="59" t="inlineStr">
        <is>
          <t xml:space="preserve">  Latest NBS CPI: nigerianstat.gov.ng → press releases</t>
        </is>
      </c>
      <c r="E10" s="2" t="n"/>
    </row>
    <row r="11" ht="22" customHeight="1" s="108">
      <c r="A11" s="2" t="n"/>
      <c r="B11" s="4" t="inlineStr">
        <is>
          <t xml:space="preserve">  Frequency</t>
        </is>
      </c>
      <c r="C11" s="14" t="inlineStr">
        <is>
          <t xml:space="preserve">  Monthly or after each MPC meeting</t>
        </is>
      </c>
      <c r="D11" s="57" t="inlineStr">
        <is>
          <t xml:space="preserve">  T-bills auction: roughly bi-weekly</t>
        </is>
      </c>
      <c r="E11" s="2" t="n"/>
    </row>
    <row r="12">
      <c r="A12" s="2" t="n"/>
      <c r="B12" s="2" t="n"/>
      <c r="C12" s="2" t="n"/>
      <c r="D12" s="2" t="n"/>
      <c r="E12" s="2" t="n"/>
    </row>
    <row r="13" ht="16" customHeight="1" s="108">
      <c r="A13" s="2" t="n"/>
      <c r="B13" s="105" t="inlineStr">
        <is>
          <t>STEP 2 — DMO BOND YIELDS  (takes ~10 mins)</t>
        </is>
      </c>
      <c r="C13" s="106" t="n"/>
      <c r="D13" s="106" t="n"/>
      <c r="E13" s="2" t="n"/>
    </row>
    <row r="14" ht="13" customHeight="1" s="108">
      <c r="A14" s="2" t="n"/>
      <c r="B14" s="10" t="inlineStr">
        <is>
          <t>Type / Step</t>
        </is>
      </c>
      <c r="C14" s="10" t="inlineStr">
        <is>
          <t>Value / URL</t>
        </is>
      </c>
      <c r="D14" s="10" t="inlineStr">
        <is>
          <t>Instructions / Notes</t>
        </is>
      </c>
      <c r="E14" s="2" t="n"/>
    </row>
    <row r="15" ht="22" customHeight="1" s="108">
      <c r="A15" s="2" t="n"/>
      <c r="B15" s="4" t="inlineStr">
        <is>
          <t xml:space="preserve">  URL</t>
        </is>
      </c>
      <c r="C15" s="14" t="inlineStr">
        <is>
          <t xml:space="preserve">  https://www.dmo.gov.ng/fgn-bonds/fgn-bond-updates</t>
        </is>
      </c>
      <c r="D15" s="57" t="inlineStr">
        <is>
          <t xml:space="preserve">  DMO weekly bond highlights — published every Monday</t>
        </is>
      </c>
      <c r="E15" s="2" t="n"/>
    </row>
    <row r="16" ht="22" customHeight="1" s="108">
      <c r="A16" s="2" t="n"/>
      <c r="B16" s="118" t="inlineStr">
        <is>
          <t xml:space="preserve">  URL</t>
        </is>
      </c>
      <c r="C16" s="13" t="inlineStr">
        <is>
          <t xml:space="preserve">  https://www.dmo.gov.ng/fgn-bonds/bonds-auction-results</t>
        </is>
      </c>
      <c r="D16" s="59" t="inlineStr">
        <is>
          <t xml:space="preserve">  Monthly auction results — published day after auction</t>
        </is>
      </c>
      <c r="E16" s="2" t="n"/>
    </row>
    <row r="17" ht="22" customHeight="1" s="108">
      <c r="A17" s="2" t="n"/>
      <c r="B17" s="4" t="inlineStr">
        <is>
          <t xml:space="preserve">  Action</t>
        </is>
      </c>
      <c r="C17" s="14" t="inlineStr">
        <is>
          <t xml:space="preserve">  Copy benchmark yields</t>
        </is>
      </c>
      <c r="D17" s="57" t="inlineStr">
        <is>
          <t xml:space="preserve">  Update column G (Current Yield %) in FGN Bonds sheet</t>
        </is>
      </c>
      <c r="E17" s="2" t="n"/>
    </row>
    <row r="18" ht="22" customHeight="1" s="108">
      <c r="A18" s="2" t="n"/>
      <c r="B18" s="118" t="inlineStr">
        <is>
          <t xml:space="preserve">  Action</t>
        </is>
      </c>
      <c r="C18" s="13" t="inlineStr">
        <is>
          <t xml:space="preserve">  Enter auction results</t>
        </is>
      </c>
      <c r="D18" s="59" t="inlineStr">
        <is>
          <t xml:space="preserve">  Fill auction date, offered, subscribed, allotted, stop rate in FGN Bonds and Yield Curve sheets</t>
        </is>
      </c>
      <c r="E18" s="2" t="n"/>
    </row>
    <row r="19" ht="22" customHeight="1" s="108">
      <c r="A19" s="2" t="n"/>
      <c r="B19" s="4" t="inlineStr">
        <is>
          <t xml:space="preserve">  File format</t>
        </is>
      </c>
      <c r="C19" s="14" t="inlineStr">
        <is>
          <t xml:space="preserve">  PDF and Excel</t>
        </is>
      </c>
      <c r="D19" s="57" t="inlineStr">
        <is>
          <t xml:space="preserve">  DMO publishes Excel files — open and copy-paste stop rates</t>
        </is>
      </c>
      <c r="E19" s="2" t="n"/>
    </row>
    <row r="20" ht="22" customHeight="1" s="108">
      <c r="A20" s="2" t="n"/>
      <c r="B20" s="118" t="inlineStr">
        <is>
          <t xml:space="preserve">  Frequency</t>
        </is>
      </c>
      <c r="C20" s="13" t="inlineStr">
        <is>
          <t xml:space="preserve">  Weekly for yields  /  Monthly after each auction</t>
        </is>
      </c>
      <c r="D20" s="59" t="inlineStr">
        <is>
          <t xml:space="preserve">  Bond auctions: last Wednesday of each month</t>
        </is>
      </c>
      <c r="E20" s="2" t="n"/>
    </row>
    <row r="21">
      <c r="A21" s="2" t="n"/>
      <c r="B21" s="2" t="n"/>
      <c r="C21" s="2" t="n"/>
      <c r="D21" s="2" t="n"/>
      <c r="E21" s="2" t="n"/>
    </row>
    <row r="22" ht="16" customHeight="1" s="108">
      <c r="A22" s="2" t="n"/>
      <c r="B22" s="105" t="inlineStr">
        <is>
          <t>STEP 3 — FMDQ DATA  (manual — requires access)</t>
        </is>
      </c>
      <c r="C22" s="106" t="n"/>
      <c r="D22" s="106" t="n"/>
      <c r="E22" s="2" t="n"/>
    </row>
    <row r="23" ht="13" customHeight="1" s="108">
      <c r="A23" s="2" t="n"/>
      <c r="B23" s="10" t="inlineStr">
        <is>
          <t>Type / Step</t>
        </is>
      </c>
      <c r="C23" s="10" t="inlineStr">
        <is>
          <t>Value / URL</t>
        </is>
      </c>
      <c r="D23" s="10" t="inlineStr">
        <is>
          <t>Instructions / Notes</t>
        </is>
      </c>
      <c r="E23" s="2" t="n"/>
    </row>
    <row r="24" ht="22" customHeight="1" s="108">
      <c r="A24" s="2" t="n"/>
      <c r="B24" s="4" t="inlineStr">
        <is>
          <t xml:space="preserve">  URL</t>
        </is>
      </c>
      <c r="C24" s="14" t="inlineStr">
        <is>
          <t xml:space="preserve">  https://fmdqgroup.com/category/listings-and-quotations/</t>
        </is>
      </c>
      <c r="D24" s="57" t="inlineStr">
        <is>
          <t xml:space="preserve">  New CP and bond quotations listed here with issuer, amount, tenor</t>
        </is>
      </c>
      <c r="E24" s="2" t="n"/>
    </row>
    <row r="25" ht="22" customHeight="1" s="108">
      <c r="A25" s="2" t="n"/>
      <c r="B25" s="118" t="inlineStr">
        <is>
          <t xml:space="preserve">  URL</t>
        </is>
      </c>
      <c r="C25" s="13" t="inlineStr">
        <is>
          <t xml:space="preserve">  https://fmdqgroup.com/markets/</t>
        </is>
      </c>
      <c r="D25" s="59" t="inlineStr">
        <is>
          <t xml:space="preserve">  Market data — closing yields and prices (requires FMDQ access)</t>
        </is>
      </c>
      <c r="E25" s="2" t="n"/>
    </row>
    <row r="26" ht="22" customHeight="1" s="108">
      <c r="A26" s="2" t="n"/>
      <c r="B26" s="4" t="inlineStr">
        <is>
          <t xml:space="preserve">  Subscription</t>
        </is>
      </c>
      <c r="C26" s="14" t="inlineStr">
        <is>
          <t xml:space="preserve">  FMDQ Data Services</t>
        </is>
      </c>
      <c r="D26" s="57" t="inlineStr">
        <is>
          <t xml:space="preserve">  For live prices, contact FMDQ: info@fmdqgroup.com or +234-1-279-5921</t>
        </is>
      </c>
      <c r="E26" s="2" t="n"/>
    </row>
    <row r="27" ht="22" customHeight="1" s="108">
      <c r="A27" s="2" t="n"/>
      <c r="B27" s="118" t="inlineStr">
        <is>
          <t xml:space="preserve">  Free alternative</t>
        </is>
      </c>
      <c r="C27" s="13" t="inlineStr">
        <is>
          <t xml:space="preserve">  Search issuer + CP on Google News</t>
        </is>
      </c>
      <c r="D27" s="59" t="inlineStr">
        <is>
          <t xml:space="preserve">  Broker bulletins (Coronation, Chapel Hill, Stanbic IBTC) publish CP data</t>
        </is>
      </c>
      <c r="E27" s="2" t="n"/>
    </row>
    <row r="28" ht="22" customHeight="1" s="108">
      <c r="A28" s="2" t="n"/>
      <c r="B28" s="4" t="inlineStr">
        <is>
          <t xml:space="preserve">  Action</t>
        </is>
      </c>
      <c r="C28" s="14" t="inlineStr">
        <is>
          <t xml:space="preserve">  Add new CPs to tracker</t>
        </is>
      </c>
      <c r="D28" s="57" t="inlineStr">
        <is>
          <t xml:space="preserve">  When FMDQ announces a new CP quotation, add a row to Commercial Papers sheet</t>
        </is>
      </c>
      <c r="E28" s="2" t="n"/>
    </row>
    <row r="29" ht="22" customHeight="1" s="108">
      <c r="A29" s="2" t="n"/>
      <c r="B29" s="118" t="inlineStr">
        <is>
          <t xml:space="preserve">  Action</t>
        </is>
      </c>
      <c r="C29" s="13" t="inlineStr">
        <is>
          <t xml:space="preserve">  Update gross discount rates</t>
        </is>
      </c>
      <c r="D29" s="59" t="inlineStr">
        <is>
          <t xml:space="preserve">  From broker bulletins or FMDQ market data subscription</t>
        </is>
      </c>
      <c r="E29" s="2" t="n"/>
    </row>
    <row r="30" ht="22" customHeight="1" s="108">
      <c r="A30" s="2" t="n"/>
      <c r="B30" s="4" t="inlineStr">
        <is>
          <t xml:space="preserve">  Frequency</t>
        </is>
      </c>
      <c r="C30" s="14" t="inlineStr">
        <is>
          <t xml:space="preserve">  Check weekly  /  Update after each new quotation</t>
        </is>
      </c>
      <c r="D30" s="57" t="inlineStr">
        <is>
          <t xml:space="preserve">  FMDQ publishes quotation announcements on its website and LinkedIn</t>
        </is>
      </c>
      <c r="E30" s="2" t="n"/>
    </row>
    <row r="31">
      <c r="A31" s="2" t="n"/>
      <c r="B31" s="2" t="n"/>
      <c r="C31" s="2" t="n"/>
      <c r="D31" s="2" t="n"/>
      <c r="E31" s="2" t="n"/>
    </row>
    <row r="32" ht="16" customHeight="1" s="108">
      <c r="A32" s="2" t="n"/>
      <c r="B32" s="105" t="inlineStr">
        <is>
          <t>STEP 4 — CORPORATE BONDS  (takes ~5 mins)</t>
        </is>
      </c>
      <c r="C32" s="106" t="n"/>
      <c r="D32" s="106" t="n"/>
      <c r="E32" s="2" t="n"/>
    </row>
    <row r="33" ht="13" customHeight="1" s="108">
      <c r="A33" s="2" t="n"/>
      <c r="B33" s="10" t="inlineStr">
        <is>
          <t>Type / Step</t>
        </is>
      </c>
      <c r="C33" s="10" t="inlineStr">
        <is>
          <t>Value / URL</t>
        </is>
      </c>
      <c r="D33" s="10" t="inlineStr">
        <is>
          <t>Instructions / Notes</t>
        </is>
      </c>
      <c r="E33" s="2" t="n"/>
    </row>
    <row r="34" ht="22" customHeight="1" s="108">
      <c r="A34" s="2" t="n"/>
      <c r="B34" s="4" t="inlineStr">
        <is>
          <t xml:space="preserve">  URL</t>
        </is>
      </c>
      <c r="C34" s="14" t="inlineStr">
        <is>
          <t xml:space="preserve">  https://fmdqgroup.com/category/listings-and-quotations/</t>
        </is>
      </c>
      <c r="D34" s="57" t="inlineStr">
        <is>
          <t xml:space="preserve">  Filter by 'bonds' — all new bond admissions announced here</t>
        </is>
      </c>
      <c r="E34" s="2" t="n"/>
    </row>
    <row r="35" ht="22" customHeight="1" s="108">
      <c r="A35" s="2" t="n"/>
      <c r="B35" s="118" t="inlineStr">
        <is>
          <t xml:space="preserve">  URL</t>
        </is>
      </c>
      <c r="C35" s="13" t="inlineStr">
        <is>
          <t xml:space="preserve">  https://ngxgroup.com/exchange/data/bonds</t>
        </is>
      </c>
      <c r="D35" s="59" t="inlineStr">
        <is>
          <t xml:space="preserve">  NGX Bond Board — NGX-listed corporate bonds</t>
        </is>
      </c>
      <c r="E35" s="2" t="n"/>
    </row>
    <row r="36" ht="22" customHeight="1" s="108">
      <c r="A36" s="2" t="n"/>
      <c r="B36" s="4" t="inlineStr">
        <is>
          <t xml:space="preserve">  Action</t>
        </is>
      </c>
      <c r="C36" s="14" t="inlineStr">
        <is>
          <t xml:space="preserve">  Add new bonds</t>
        </is>
      </c>
      <c r="D36" s="57" t="inlineStr">
        <is>
          <t xml:space="preserve">  When a new corporate bond is listed, add a row to Corporate Bonds sheet</t>
        </is>
      </c>
      <c r="E36" s="2" t="n"/>
    </row>
    <row r="37" ht="22" customHeight="1" s="108">
      <c r="A37" s="2" t="n"/>
      <c r="B37" s="118" t="inlineStr">
        <is>
          <t xml:space="preserve">  Action</t>
        </is>
      </c>
      <c r="C37" s="13" t="inlineStr">
        <is>
          <t xml:space="preserve">  Update current YTM</t>
        </is>
      </c>
      <c r="D37" s="59" t="inlineStr">
        <is>
          <t xml:space="preserve">  From broker/dealer quotes or FMDQ market data</t>
        </is>
      </c>
      <c r="E37" s="2" t="n"/>
    </row>
    <row r="38" ht="22" customHeight="1" s="108">
      <c r="A38" s="2" t="n"/>
      <c r="B38" s="4" t="inlineStr">
        <is>
          <t xml:space="preserve">  Frequency</t>
        </is>
      </c>
      <c r="C38" s="14" t="inlineStr">
        <is>
          <t xml:space="preserve">  Monthly or after each new listing</t>
        </is>
      </c>
      <c r="D38" s="57" t="inlineStr">
        <is>
          <t xml:space="preserve">  Corporate bond issuances are infrequent — check monthly</t>
        </is>
      </c>
      <c r="E38" s="2" t="n"/>
    </row>
    <row r="39">
      <c r="A39" s="2" t="n"/>
      <c r="B39" s="2" t="n"/>
      <c r="C39" s="2" t="n"/>
      <c r="D39" s="2" t="n"/>
      <c r="E39" s="2" t="n"/>
    </row>
    <row r="40" ht="16" customHeight="1" s="108">
      <c r="A40" s="2" t="n"/>
      <c r="B40" s="105" t="inlineStr">
        <is>
          <t>STEP 5 — EUROBONDS  (USD-denominated)</t>
        </is>
      </c>
      <c r="C40" s="106" t="n"/>
      <c r="D40" s="106" t="n"/>
      <c r="E40" s="2" t="n"/>
    </row>
    <row r="41" ht="13" customHeight="1" s="108">
      <c r="A41" s="2" t="n"/>
      <c r="B41" s="10" t="inlineStr">
        <is>
          <t>Type / Step</t>
        </is>
      </c>
      <c r="C41" s="10" t="inlineStr">
        <is>
          <t>Value / URL</t>
        </is>
      </c>
      <c r="D41" s="10" t="inlineStr">
        <is>
          <t>Instructions / Notes</t>
        </is>
      </c>
      <c r="E41" s="2" t="n"/>
    </row>
    <row r="42" ht="22" customHeight="1" s="108">
      <c r="A42" s="2" t="n"/>
      <c r="B42" s="4" t="inlineStr">
        <is>
          <t xml:space="preserve">  URL</t>
        </is>
      </c>
      <c r="C42" s="14" t="inlineStr">
        <is>
          <t xml:space="preserve">  https://www.dmo.gov.ng/fgn-bonds/fgn-bond-updates</t>
        </is>
      </c>
      <c r="D42" s="57" t="inlineStr">
        <is>
          <t xml:space="preserve">  DMO publishes Eurobond closing prices and yields weekly</t>
        </is>
      </c>
      <c r="E42" s="2" t="n"/>
    </row>
    <row r="43" ht="22" customHeight="1" s="108">
      <c r="A43" s="2" t="n"/>
      <c r="B43" s="118" t="inlineStr">
        <is>
          <t xml:space="preserve">  File</t>
        </is>
      </c>
      <c r="C43" s="13" t="inlineStr">
        <is>
          <t xml:space="preserve">  Nigeria Eurobonds Closing Prices and Yields</t>
        </is>
      </c>
      <c r="D43" s="59" t="inlineStr">
        <is>
          <t xml:space="preserve">  Published as Excel — download and extract yields</t>
        </is>
      </c>
      <c r="E43" s="2" t="n"/>
    </row>
    <row r="44" ht="22" customHeight="1" s="108">
      <c r="A44" s="2" t="n"/>
      <c r="B44" s="4" t="inlineStr">
        <is>
          <t xml:space="preserve">  URL</t>
        </is>
      </c>
      <c r="C44" s="14" t="inlineStr">
        <is>
          <t xml:space="preserve">  https://ng.investing.com/rates-bonds/nigeria-government-bonds</t>
        </is>
      </c>
      <c r="D44" s="57" t="inlineStr">
        <is>
          <t xml:space="preserve">  Investing.com Nigeria bonds page — real-time USD bond yields</t>
        </is>
      </c>
      <c r="E44" s="2" t="n"/>
    </row>
    <row r="45" ht="22" customHeight="1" s="108">
      <c r="A45" s="2" t="n"/>
      <c r="B45" s="118" t="inlineStr">
        <is>
          <t xml:space="preserve">  Note</t>
        </is>
      </c>
      <c r="C45" s="13" t="inlineStr">
        <is>
          <t xml:space="preserve">  These bonds are USD-denominated</t>
        </is>
      </c>
      <c r="D45" s="59" t="inlineStr">
        <is>
          <t xml:space="preserve">  FX risk applies — compare vs USD risk-free rate, not T-bills</t>
        </is>
      </c>
      <c r="E45" s="2" t="n"/>
    </row>
    <row r="46" ht="22" customHeight="1" s="108">
      <c r="A46" s="2" t="n"/>
      <c r="B46" s="4" t="inlineStr">
        <is>
          <t xml:space="preserve">  Frequency</t>
        </is>
      </c>
      <c r="C46" s="14" t="inlineStr">
        <is>
          <t xml:space="preserve">  Weekly</t>
        </is>
      </c>
      <c r="D46" s="57" t="inlineStr">
        <is>
          <t xml:space="preserve">  DMO publishes every Friday</t>
        </is>
      </c>
      <c r="E46" s="2" t="n"/>
    </row>
    <row r="47">
      <c r="A47" s="2" t="n"/>
      <c r="B47" s="2" t="n"/>
      <c r="C47" s="2" t="n"/>
      <c r="D47" s="2" t="n"/>
      <c r="E47" s="2" t="n"/>
    </row>
    <row r="48" ht="16" customHeight="1" s="108">
      <c r="A48" s="2" t="n"/>
      <c r="B48" s="105" t="inlineStr">
        <is>
          <t>POWER QUERY SETUP  —  Semi-automated refresh (Excel 365 / 2019+)</t>
        </is>
      </c>
      <c r="C48" s="106" t="n"/>
      <c r="D48" s="106" t="n"/>
      <c r="E48" s="2" t="n"/>
    </row>
    <row r="49" ht="13" customHeight="1" s="108">
      <c r="A49" s="2" t="n"/>
      <c r="B49" s="10" t="inlineStr">
        <is>
          <t>Type / Step</t>
        </is>
      </c>
      <c r="C49" s="10" t="inlineStr">
        <is>
          <t>Value / URL</t>
        </is>
      </c>
      <c r="D49" s="10" t="inlineStr">
        <is>
          <t>Instructions / Notes</t>
        </is>
      </c>
      <c r="E49" s="2" t="n"/>
    </row>
    <row r="50" ht="22" customHeight="1" s="108">
      <c r="A50" s="2" t="n"/>
      <c r="B50" s="4" t="inlineStr">
        <is>
          <t xml:space="preserve">  1</t>
        </is>
      </c>
      <c r="C50" s="14" t="inlineStr">
        <is>
          <t xml:space="preserve">  Open Excel → Data tab → Get Data → From Web</t>
        </is>
      </c>
      <c r="D50" s="57" t="inlineStr">
        <is>
          <t xml:space="preserve">  Paste URL: https://www.cbn.gov.ng/rates/GovtSecurities.html</t>
        </is>
      </c>
      <c r="E50" s="2" t="n"/>
    </row>
    <row r="51" ht="22" customHeight="1" s="108">
      <c r="A51" s="2" t="n"/>
      <c r="B51" s="118" t="inlineStr">
        <is>
          <t xml:space="preserve">  2</t>
        </is>
      </c>
      <c r="C51" s="13" t="inlineStr">
        <is>
          <t xml:space="preserve">  Select the rates table in Power Query Editor</t>
        </is>
      </c>
      <c r="D51" s="59" t="inlineStr">
        <is>
          <t xml:space="preserve">  Click 'Load To' → choose a blank area or new sheet</t>
        </is>
      </c>
      <c r="E51" s="2" t="n"/>
    </row>
    <row r="52" ht="22" customHeight="1" s="108">
      <c r="A52" s="2" t="n"/>
      <c r="B52" s="4" t="inlineStr">
        <is>
          <t xml:space="preserve">  3</t>
        </is>
      </c>
      <c r="C52" s="14" t="inlineStr">
        <is>
          <t xml:space="preserve">  Rename the query</t>
        </is>
      </c>
      <c r="D52" s="57" t="inlineStr">
        <is>
          <t xml:space="preserve">  e.g. 'CBN_GovtSecurities'</t>
        </is>
      </c>
      <c r="E52" s="2" t="n"/>
    </row>
    <row r="53" ht="22" customHeight="1" s="108">
      <c r="A53" s="2" t="n"/>
      <c r="B53" s="118" t="inlineStr">
        <is>
          <t xml:space="preserve">  4</t>
        </is>
      </c>
      <c r="C53" s="13" t="inlineStr">
        <is>
          <t xml:space="preserve">  Set refresh schedule</t>
        </is>
      </c>
      <c r="D53" s="59" t="inlineStr">
        <is>
          <t xml:space="preserve">  Data → Connections → Properties → Refresh every X minutes</t>
        </is>
      </c>
      <c r="E53" s="2" t="n"/>
    </row>
    <row r="54" ht="22" customHeight="1" s="108">
      <c r="A54" s="2" t="n"/>
      <c r="B54" s="4" t="inlineStr">
        <is>
          <t xml:space="preserve">  5</t>
        </is>
      </c>
      <c r="C54" s="14" t="inlineStr">
        <is>
          <t xml:space="preserve">  Repeat for DMO auction page</t>
        </is>
      </c>
      <c r="D54" s="57" t="inlineStr">
        <is>
          <t xml:space="preserve">  https://www.dmo.gov.ng/fgn-bonds/bonds-auction-results</t>
        </is>
      </c>
      <c r="E54" s="2" t="n"/>
    </row>
    <row r="55" ht="22" customHeight="1" s="108">
      <c r="A55" s="2" t="n"/>
      <c r="B55" s="118" t="inlineStr">
        <is>
          <t xml:space="preserve">  6</t>
        </is>
      </c>
      <c r="C55" s="13" t="inlineStr">
        <is>
          <t xml:space="preserve">  Map values to CBNRates sheet</t>
        </is>
      </c>
      <c r="D55" s="59" t="inlineStr">
        <is>
          <t xml:space="preserve">  Use VLOOKUP or INDEX/MATCH to pull values from the query tables into CBNRates</t>
        </is>
      </c>
      <c r="E55" s="2" t="n"/>
    </row>
    <row r="56" ht="22" customHeight="1" s="108">
      <c r="A56" s="2" t="n"/>
      <c r="B56" s="4" t="inlineStr">
        <is>
          <t xml:space="preserve">  Limitation</t>
        </is>
      </c>
      <c r="C56" s="14" t="inlineStr">
        <is>
          <t xml:space="preserve">  FMDQ does not expose public data tables</t>
        </is>
      </c>
      <c r="D56" s="57" t="inlineStr">
        <is>
          <t xml:space="preserve">  Power Query cannot auto-refresh FMDQ prices without a paid data subscription</t>
        </is>
      </c>
      <c r="E56" s="2" t="n"/>
    </row>
    <row r="57">
      <c r="A57" s="2" t="n"/>
      <c r="B57" s="2" t="n"/>
      <c r="C57" s="2" t="n"/>
      <c r="D57" s="2" t="n"/>
      <c r="E57" s="2" t="n"/>
    </row>
    <row r="58" ht="16" customHeight="1" s="108">
      <c r="A58" s="2" t="n"/>
      <c r="B58" s="105" t="inlineStr">
        <is>
          <t>GLOSSARY  —  Key terms for Nigeria fixed income</t>
        </is>
      </c>
      <c r="C58" s="106" t="n"/>
      <c r="D58" s="106" t="n"/>
      <c r="E58" s="2" t="n"/>
    </row>
    <row r="59" ht="13" customHeight="1" s="108">
      <c r="A59" s="2" t="n"/>
      <c r="B59" s="10" t="inlineStr">
        <is>
          <t>Type / Step</t>
        </is>
      </c>
      <c r="C59" s="10" t="inlineStr">
        <is>
          <t>Value / URL</t>
        </is>
      </c>
      <c r="D59" s="10" t="inlineStr">
        <is>
          <t>Instructions / Notes</t>
        </is>
      </c>
      <c r="E59" s="2" t="n"/>
    </row>
    <row r="60" ht="22" customHeight="1" s="108">
      <c r="A60" s="2" t="n"/>
      <c r="B60" s="4" t="inlineStr">
        <is>
          <t xml:space="preserve">  YTM</t>
        </is>
      </c>
      <c r="C60" s="14" t="inlineStr">
        <is>
          <t xml:space="preserve">  Yield to Maturity</t>
        </is>
      </c>
      <c r="D60" s="57" t="inlineStr">
        <is>
          <t xml:space="preserve">  Internal rate of return if bond held to maturity; the primary comparison metric</t>
        </is>
      </c>
      <c r="E60" s="2" t="n"/>
    </row>
    <row r="61" ht="22" customHeight="1" s="108">
      <c r="A61" s="2" t="n"/>
      <c r="B61" s="118" t="inlineStr">
        <is>
          <t xml:space="preserve">  Duration</t>
        </is>
      </c>
      <c r="C61" s="13" t="inlineStr">
        <is>
          <t xml:space="preserve">  Modified Duration</t>
        </is>
      </c>
      <c r="D61" s="59" t="inlineStr">
        <is>
          <t xml:space="preserve">  % price change for each 1% change in yield. Higher duration = more rate risk</t>
        </is>
      </c>
      <c r="E61" s="2" t="n"/>
    </row>
    <row r="62" ht="22" customHeight="1" s="108">
      <c r="A62" s="2" t="n"/>
      <c r="B62" s="4" t="inlineStr">
        <is>
          <t xml:space="preserve">  DV01</t>
        </is>
      </c>
      <c r="C62" s="14" t="inlineStr">
        <is>
          <t xml:space="preserve">  Dollar Value of 1 Basis Point</t>
        </is>
      </c>
      <c r="D62" s="57" t="inlineStr">
        <is>
          <t xml:space="preserve">  ₦ price change per ₦1M face value for 1bp move in yield</t>
        </is>
      </c>
      <c r="E62" s="2" t="n"/>
    </row>
    <row r="63" ht="22" customHeight="1" s="108">
      <c r="A63" s="2" t="n"/>
      <c r="B63" s="118" t="inlineStr">
        <is>
          <t xml:space="preserve">  Spread</t>
        </is>
      </c>
      <c r="C63" s="13" t="inlineStr">
        <is>
          <t xml:space="preserve">  Yield spread over benchmark</t>
        </is>
      </c>
      <c r="D63" s="59" t="inlineStr">
        <is>
          <t xml:space="preserve">  Extra yield vs. T-bill or FGN bond; compensates for credit and liquidity risk</t>
        </is>
      </c>
      <c r="E63" s="2" t="n"/>
    </row>
    <row r="64" ht="22" customHeight="1" s="108">
      <c r="A64" s="2" t="n"/>
      <c r="B64" s="4" t="inlineStr">
        <is>
          <t xml:space="preserve">  Stop Rate</t>
        </is>
      </c>
      <c r="C64" s="14" t="inlineStr">
        <is>
          <t xml:space="preserve">  NTB / Bond auction clearing rate</t>
        </is>
      </c>
      <c r="D64" s="57" t="inlineStr">
        <is>
          <t xml:space="preserve">  Rate at which DMO stops accepting bids; becomes the primary market rate</t>
        </is>
      </c>
      <c r="E64" s="2" t="n"/>
    </row>
    <row r="65" ht="22" customHeight="1" s="108">
      <c r="A65" s="2" t="n"/>
      <c r="B65" s="118" t="inlineStr">
        <is>
          <t xml:space="preserve">  Bid-to-Cover</t>
        </is>
      </c>
      <c r="C65" s="13" t="inlineStr">
        <is>
          <t xml:space="preserve">  Total bids ÷ Total allotted</t>
        </is>
      </c>
      <c r="D65" s="59" t="inlineStr">
        <is>
          <t xml:space="preserve">  Demand indicator. &gt; 2x = strong demand. &lt; 1x = under-subscribed</t>
        </is>
      </c>
      <c r="E65" s="2" t="n"/>
    </row>
    <row r="66" ht="22" customHeight="1" s="108">
      <c r="A66" s="2" t="n"/>
      <c r="B66" s="4" t="inlineStr">
        <is>
          <t xml:space="preserve">  WHT</t>
        </is>
      </c>
      <c r="C66" s="14" t="inlineStr">
        <is>
          <t xml:space="preserve">  Withholding Tax</t>
        </is>
      </c>
      <c r="D66" s="57" t="inlineStr">
        <is>
          <t xml:space="preserve">  10% WHT applies to bond/CP interest income from Jan 2025. Always use net-of-WHT yield for comparisons</t>
        </is>
      </c>
      <c r="E66" s="2" t="n"/>
    </row>
    <row r="67" ht="22" customHeight="1" s="108">
      <c r="A67" s="2" t="n"/>
      <c r="B67" s="118" t="inlineStr">
        <is>
          <t xml:space="preserve">  PDMM</t>
        </is>
      </c>
      <c r="C67" s="13" t="inlineStr">
        <is>
          <t xml:space="preserve">  Primary Dealer Market Maker</t>
        </is>
      </c>
      <c r="D67" s="59" t="inlineStr">
        <is>
          <t xml:space="preserve">  Banks authorised by DMO to make two-way quotes in FGN bonds. Key liquidity providers</t>
        </is>
      </c>
      <c r="E67" s="2" t="n"/>
    </row>
    <row r="68" ht="22" customHeight="1" s="108">
      <c r="A68" s="2" t="n"/>
      <c r="B68" s="4" t="inlineStr">
        <is>
          <t xml:space="preserve">  Real Yield</t>
        </is>
      </c>
      <c r="C68" s="14" t="inlineStr">
        <is>
          <t xml:space="preserve">  Nominal Yield minus Inflation</t>
        </is>
      </c>
      <c r="D68" s="57" t="inlineStr">
        <is>
          <t xml:space="preserve">  Positive real yield = earning above inflation = real wealth created</t>
        </is>
      </c>
      <c r="E68" s="2" t="n"/>
    </row>
    <row r="69" ht="22" customHeight="1" s="108">
      <c r="A69" s="2" t="n"/>
      <c r="B69" s="118" t="inlineStr">
        <is>
          <t xml:space="preserve">  CP Discount Rate</t>
        </is>
      </c>
      <c r="C69" s="13" t="inlineStr">
        <is>
          <t xml:space="preserve">  Commercial paper pricing method</t>
        </is>
      </c>
      <c r="D69" s="59" t="inlineStr">
        <is>
          <t xml:space="preserve">  CPs are issued at discount; discount rate ≈ implied yield for short tenors</t>
        </is>
      </c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107" t="inlineStr">
        <is>
          <t xml:space="preserve">  Not financial advice. Always verify data from official sources (DMO, CBN, FMDQ, NBS) before making investment decisions.</t>
        </is>
      </c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</sheetData>
  <mergeCells count="10">
    <mergeCell ref="B3:D3"/>
    <mergeCell ref="B5:D5"/>
    <mergeCell ref="B48:D48"/>
    <mergeCell ref="B22:D22"/>
    <mergeCell ref="B71:D71"/>
    <mergeCell ref="B32:D32"/>
    <mergeCell ref="B40:D40"/>
    <mergeCell ref="B58:D58"/>
    <mergeCell ref="B13:D1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2026-05-05T12:05:28Z</dcterms:created>
  <dcterms:modified xmlns:dcterms="http://purl.org/dc/terms/" xmlns:xsi="http://www.w3.org/2001/XMLSchema-instance" xsi:type="dcterms:W3CDTF">2026-05-18T17:17:05Z</dcterms:modified>
  <cp:lastModifiedBy>Oghenetega Idogun</cp:lastModifiedBy>
</cp:coreProperties>
</file>